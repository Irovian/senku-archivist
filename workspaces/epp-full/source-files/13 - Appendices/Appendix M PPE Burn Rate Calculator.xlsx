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Y:\Shared\Legacy\US\ROCH_PLAIN\Office\Conference\Boilers\_EMP\LTC Emergency Operations Manual\AHCA EPP Template - May 2022\Footnoted\Appendices\"/>
    </mc:Choice>
  </mc:AlternateContent>
  <xr:revisionPtr revIDLastSave="0" documentId="13_ncr:1_{F43C43CA-EA04-4C69-92FD-B0162BD5A38B}" xr6:coauthVersionLast="47" xr6:coauthVersionMax="47" xr10:uidLastSave="{00000000-0000-0000-0000-000000000000}"/>
  <bookViews>
    <workbookView xWindow="-120" yWindow="-120" windowWidth="29040" windowHeight="15840" xr2:uid="{00000000-000D-0000-FFFF-FFFF00000000}"/>
  </bookViews>
  <sheets>
    <sheet name="Daily Data Entry" sheetId="1" r:id="rId1"/>
    <sheet name="Calculator Summary" sheetId="6"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0" i="1" l="1"/>
  <c r="P44" i="1"/>
  <c r="P43" i="1"/>
  <c r="P42" i="1"/>
  <c r="P41" i="1"/>
  <c r="O44" i="1"/>
  <c r="O43" i="1"/>
  <c r="O42" i="1"/>
  <c r="O41" i="1"/>
  <c r="N43" i="1"/>
  <c r="N42" i="1"/>
  <c r="N41" i="1"/>
  <c r="N44" i="1"/>
  <c r="M44" i="1"/>
  <c r="M43" i="1"/>
  <c r="M42" i="1"/>
  <c r="M41" i="1"/>
  <c r="L44" i="1"/>
  <c r="L43" i="1"/>
  <c r="L42" i="1"/>
  <c r="L41" i="1"/>
  <c r="K44" i="1"/>
  <c r="K43" i="1"/>
  <c r="K42" i="1"/>
  <c r="K41" i="1"/>
  <c r="J44" i="1"/>
  <c r="J43" i="1"/>
  <c r="J42" i="1"/>
  <c r="J41" i="1"/>
  <c r="I44" i="1"/>
  <c r="I43" i="1"/>
  <c r="I42" i="1"/>
  <c r="I41" i="1"/>
  <c r="H44" i="1"/>
  <c r="H43" i="1"/>
  <c r="H42" i="1"/>
  <c r="H41" i="1"/>
  <c r="G44" i="1"/>
  <c r="G43" i="1"/>
  <c r="G42" i="1"/>
  <c r="G41" i="1"/>
  <c r="F44" i="1"/>
  <c r="F43" i="1"/>
  <c r="F42" i="1"/>
  <c r="F41" i="1"/>
  <c r="E44" i="1"/>
  <c r="E43" i="1"/>
  <c r="E42" i="1"/>
  <c r="E41" i="1"/>
  <c r="D44" i="1"/>
  <c r="D43" i="1"/>
  <c r="D42" i="1"/>
  <c r="D41" i="1"/>
  <c r="P54" i="1"/>
  <c r="P53" i="1"/>
  <c r="P52" i="1"/>
  <c r="P51" i="1"/>
  <c r="P50" i="1"/>
  <c r="P49" i="1"/>
  <c r="P48" i="1"/>
  <c r="P47" i="1"/>
  <c r="P46" i="1"/>
  <c r="P45" i="1"/>
  <c r="O54" i="1"/>
  <c r="O53" i="1"/>
  <c r="O52" i="1"/>
  <c r="O51" i="1"/>
  <c r="O50" i="1"/>
  <c r="O49" i="1"/>
  <c r="O48" i="1"/>
  <c r="O47" i="1"/>
  <c r="O46" i="1"/>
  <c r="O45" i="1"/>
  <c r="N54" i="1"/>
  <c r="N53" i="1"/>
  <c r="N52" i="1"/>
  <c r="N51" i="1"/>
  <c r="N50" i="1"/>
  <c r="N49" i="1"/>
  <c r="N48" i="1"/>
  <c r="N47" i="1"/>
  <c r="N46" i="1"/>
  <c r="N45" i="1"/>
  <c r="M54" i="1"/>
  <c r="M53" i="1"/>
  <c r="M52" i="1"/>
  <c r="M51" i="1"/>
  <c r="M50" i="1"/>
  <c r="M49" i="1"/>
  <c r="M48" i="1"/>
  <c r="M47" i="1"/>
  <c r="M46" i="1"/>
  <c r="M45" i="1"/>
  <c r="L54" i="1"/>
  <c r="L53" i="1"/>
  <c r="L52" i="1"/>
  <c r="L51" i="1"/>
  <c r="L50" i="1"/>
  <c r="L49" i="1"/>
  <c r="L48" i="1"/>
  <c r="L47" i="1"/>
  <c r="L46" i="1"/>
  <c r="L45" i="1"/>
  <c r="K54" i="1"/>
  <c r="K53" i="1"/>
  <c r="K52" i="1"/>
  <c r="K51" i="1"/>
  <c r="K50" i="1"/>
  <c r="K49" i="1"/>
  <c r="K48" i="1"/>
  <c r="K47" i="1"/>
  <c r="K46" i="1"/>
  <c r="K45" i="1"/>
  <c r="J54" i="1"/>
  <c r="J53" i="1"/>
  <c r="J52" i="1"/>
  <c r="J51" i="1"/>
  <c r="J50" i="1"/>
  <c r="J49" i="1"/>
  <c r="J48" i="1"/>
  <c r="J47" i="1"/>
  <c r="J46" i="1"/>
  <c r="J45" i="1"/>
  <c r="I54" i="1"/>
  <c r="I53" i="1"/>
  <c r="I52" i="1"/>
  <c r="I51" i="1"/>
  <c r="I50" i="1"/>
  <c r="I49" i="1"/>
  <c r="I48" i="1"/>
  <c r="I47" i="1"/>
  <c r="I46" i="1"/>
  <c r="I45" i="1"/>
  <c r="H54" i="1"/>
  <c r="H53" i="1"/>
  <c r="H52" i="1"/>
  <c r="H51" i="1"/>
  <c r="H50" i="1"/>
  <c r="H49" i="1"/>
  <c r="H48" i="1"/>
  <c r="H47" i="1"/>
  <c r="H46" i="1"/>
  <c r="H45" i="1"/>
  <c r="G51" i="1"/>
  <c r="G54" i="1"/>
  <c r="G53" i="1"/>
  <c r="G52" i="1"/>
  <c r="G50" i="1"/>
  <c r="G49" i="1"/>
  <c r="G48" i="1"/>
  <c r="G47" i="1"/>
  <c r="G46" i="1"/>
  <c r="G45" i="1"/>
  <c r="F54" i="1"/>
  <c r="F53" i="1"/>
  <c r="F52" i="1"/>
  <c r="F51" i="1"/>
  <c r="F50" i="1"/>
  <c r="F49" i="1"/>
  <c r="F48" i="1"/>
  <c r="F47" i="1"/>
  <c r="F46" i="1"/>
  <c r="F45" i="1"/>
  <c r="E54" i="1"/>
  <c r="E53" i="1"/>
  <c r="E52" i="1"/>
  <c r="E51" i="1"/>
  <c r="E50" i="1"/>
  <c r="E49" i="1"/>
  <c r="E48" i="1"/>
  <c r="E47" i="1"/>
  <c r="E46" i="1"/>
  <c r="E45" i="1"/>
  <c r="D54" i="1"/>
  <c r="D53" i="1"/>
  <c r="D52" i="1"/>
  <c r="D51" i="1"/>
  <c r="D50" i="1"/>
  <c r="D49" i="1"/>
  <c r="D48" i="1"/>
  <c r="D47" i="1"/>
  <c r="D46" i="1"/>
  <c r="D45" i="1"/>
  <c r="P40" i="1"/>
  <c r="O40" i="1"/>
  <c r="N40" i="1"/>
  <c r="M40" i="1"/>
  <c r="L40" i="1"/>
  <c r="K40" i="1"/>
  <c r="J40" i="1"/>
  <c r="I40" i="1"/>
  <c r="H40" i="1"/>
  <c r="G40" i="1"/>
  <c r="F40" i="1"/>
  <c r="D40" i="1"/>
  <c r="V40" i="1" l="1"/>
  <c r="M59" i="1" l="1"/>
  <c r="E59" i="1"/>
  <c r="L59" i="1"/>
  <c r="K59" i="1"/>
  <c r="O59" i="1"/>
  <c r="J59" i="1"/>
  <c r="P59" i="1"/>
  <c r="G59" i="1"/>
  <c r="N59" i="1"/>
  <c r="Q59" i="1"/>
  <c r="I59" i="1"/>
  <c r="H59" i="1"/>
  <c r="F59" i="1"/>
  <c r="D59" i="1"/>
  <c r="L7" i="6"/>
  <c r="B19" i="6"/>
  <c r="B18" i="6"/>
  <c r="B54" i="1"/>
  <c r="B53" i="1"/>
  <c r="M7" i="6"/>
  <c r="H7" i="6"/>
  <c r="E7" i="6"/>
  <c r="D7" i="6"/>
  <c r="K19" i="6"/>
  <c r="J18" i="6"/>
  <c r="I18" i="6"/>
  <c r="P5" i="6"/>
  <c r="O5" i="6"/>
  <c r="N5" i="6"/>
  <c r="M5" i="6"/>
  <c r="L5" i="6"/>
  <c r="D5" i="6"/>
  <c r="L19" i="6" l="1"/>
  <c r="D19" i="6"/>
  <c r="N92" i="1"/>
  <c r="O18" i="6"/>
  <c r="H82" i="1"/>
  <c r="O89" i="1"/>
  <c r="O16" i="6"/>
  <c r="L18" i="6"/>
  <c r="E18" i="6"/>
  <c r="M18" i="6"/>
  <c r="K89" i="1"/>
  <c r="K16" i="6"/>
  <c r="H90" i="1"/>
  <c r="H17" i="6"/>
  <c r="G91" i="1"/>
  <c r="G18" i="6"/>
  <c r="D91" i="1"/>
  <c r="P90" i="1"/>
  <c r="P17" i="6"/>
  <c r="P86" i="1"/>
  <c r="G90" i="1"/>
  <c r="G17" i="6"/>
  <c r="O90" i="1"/>
  <c r="O17" i="6"/>
  <c r="O84" i="1"/>
  <c r="G86" i="1"/>
  <c r="O86" i="1"/>
  <c r="K87" i="1"/>
  <c r="M88" i="1"/>
  <c r="I11" i="6"/>
  <c r="O15" i="6"/>
  <c r="I13" i="6"/>
  <c r="G88" i="1"/>
  <c r="M10" i="6"/>
  <c r="M87" i="1"/>
  <c r="M14" i="6"/>
  <c r="M86" i="1"/>
  <c r="M13" i="6"/>
  <c r="N86" i="1"/>
  <c r="N13" i="6"/>
  <c r="D88" i="1"/>
  <c r="O13" i="6"/>
  <c r="K14" i="6"/>
  <c r="L87" i="1"/>
  <c r="L14" i="6"/>
  <c r="P82" i="1"/>
  <c r="F85" i="1"/>
  <c r="F12" i="6"/>
  <c r="E86" i="1"/>
  <c r="E13" i="6"/>
  <c r="D83" i="1"/>
  <c r="D10" i="6"/>
  <c r="F86" i="1"/>
  <c r="F13" i="6"/>
  <c r="D84" i="1"/>
  <c r="D11" i="6"/>
  <c r="E87" i="1"/>
  <c r="E14" i="6"/>
  <c r="D86" i="1"/>
  <c r="D13" i="6"/>
  <c r="F84" i="1"/>
  <c r="F11" i="6"/>
  <c r="D79" i="1"/>
  <c r="D6" i="6"/>
  <c r="P79" i="1"/>
  <c r="P6" i="6"/>
  <c r="P81" i="1"/>
  <c r="P8" i="6"/>
  <c r="O80" i="1"/>
  <c r="O7" i="6"/>
  <c r="K81" i="1"/>
  <c r="K8" i="6"/>
  <c r="F78" i="1"/>
  <c r="F5" i="6"/>
  <c r="N80" i="1"/>
  <c r="N7" i="6"/>
  <c r="F79" i="1"/>
  <c r="F6" i="6"/>
  <c r="F80" i="1"/>
  <c r="F7" i="6"/>
  <c r="H81" i="1"/>
  <c r="H8" i="6"/>
  <c r="M82" i="1"/>
  <c r="M9" i="6"/>
  <c r="L79" i="1"/>
  <c r="L6" i="6"/>
  <c r="G80" i="1"/>
  <c r="G7" i="6"/>
  <c r="I81" i="1"/>
  <c r="I8" i="6"/>
  <c r="O79" i="1"/>
  <c r="O6" i="6"/>
  <c r="N79" i="1"/>
  <c r="N6" i="6"/>
  <c r="J81" i="1"/>
  <c r="J8" i="6"/>
  <c r="E78" i="1"/>
  <c r="E5" i="6"/>
  <c r="T73" i="1"/>
  <c r="T54" i="1"/>
  <c r="B92" i="1"/>
  <c r="B73" i="1"/>
  <c r="T72" i="1"/>
  <c r="T53" i="1"/>
  <c r="B72" i="1"/>
  <c r="B91" i="1"/>
  <c r="J5" i="6"/>
  <c r="K5" i="6"/>
  <c r="D80" i="1"/>
  <c r="L80" i="1"/>
  <c r="E80" i="1"/>
  <c r="M80" i="1"/>
  <c r="H80" i="1"/>
  <c r="D14" i="6"/>
  <c r="D12" i="6"/>
  <c r="D9" i="6"/>
  <c r="D16" i="6"/>
  <c r="K92" i="1"/>
  <c r="J91" i="1"/>
  <c r="E91" i="1"/>
  <c r="I91" i="1"/>
  <c r="D78" i="1"/>
  <c r="H9" i="6" l="1"/>
  <c r="L92" i="1"/>
  <c r="D92" i="1"/>
  <c r="L91" i="1"/>
  <c r="O91" i="1"/>
  <c r="G15" i="6"/>
  <c r="O88" i="1"/>
  <c r="I84" i="1"/>
  <c r="M83" i="1"/>
  <c r="M15" i="6"/>
  <c r="N19" i="6"/>
  <c r="P13" i="6"/>
  <c r="M91" i="1"/>
  <c r="G13" i="6"/>
  <c r="P92" i="1"/>
  <c r="P19" i="6"/>
  <c r="F92" i="1"/>
  <c r="F19" i="6"/>
  <c r="K91" i="1"/>
  <c r="K18" i="6"/>
  <c r="E89" i="1"/>
  <c r="E16" i="6"/>
  <c r="J92" i="1"/>
  <c r="J19" i="6"/>
  <c r="H92" i="1"/>
  <c r="H19" i="6"/>
  <c r="O92" i="1"/>
  <c r="O19" i="6"/>
  <c r="I90" i="1"/>
  <c r="I17" i="6"/>
  <c r="M89" i="1"/>
  <c r="M16" i="6"/>
  <c r="P91" i="1"/>
  <c r="P18" i="6"/>
  <c r="N91" i="1"/>
  <c r="N18" i="6"/>
  <c r="G92" i="1"/>
  <c r="G19" i="6"/>
  <c r="H91" i="1"/>
  <c r="H18" i="6"/>
  <c r="F91" i="1"/>
  <c r="F18" i="6"/>
  <c r="J89" i="1"/>
  <c r="J16" i="6"/>
  <c r="M90" i="1"/>
  <c r="M17" i="6"/>
  <c r="E90" i="1"/>
  <c r="E17" i="6"/>
  <c r="H89" i="1"/>
  <c r="H16" i="6"/>
  <c r="O11" i="6"/>
  <c r="N89" i="1"/>
  <c r="N16" i="6"/>
  <c r="N90" i="1"/>
  <c r="N17" i="6"/>
  <c r="J90" i="1"/>
  <c r="J17" i="6"/>
  <c r="L90" i="1"/>
  <c r="L17" i="6"/>
  <c r="I92" i="1"/>
  <c r="I19" i="6"/>
  <c r="P89" i="1"/>
  <c r="P16" i="6"/>
  <c r="L89" i="1"/>
  <c r="L16" i="6"/>
  <c r="D15" i="6"/>
  <c r="F90" i="1"/>
  <c r="F17" i="6"/>
  <c r="M92" i="1"/>
  <c r="M19" i="6"/>
  <c r="D90" i="1"/>
  <c r="D17" i="6"/>
  <c r="K90" i="1"/>
  <c r="K17" i="6"/>
  <c r="F89" i="1"/>
  <c r="F16" i="6"/>
  <c r="G89" i="1"/>
  <c r="G16" i="6"/>
  <c r="E92" i="1"/>
  <c r="E19" i="6"/>
  <c r="V53" i="1"/>
  <c r="D18" i="6"/>
  <c r="I89" i="1"/>
  <c r="I16" i="6"/>
  <c r="I86" i="1"/>
  <c r="P9" i="6"/>
  <c r="J86" i="1"/>
  <c r="J13" i="6"/>
  <c r="I87" i="1"/>
  <c r="I14" i="6"/>
  <c r="K86" i="1"/>
  <c r="K13" i="6"/>
  <c r="J83" i="1"/>
  <c r="J10" i="6"/>
  <c r="M85" i="1"/>
  <c r="M12" i="6"/>
  <c r="P87" i="1"/>
  <c r="P14" i="6"/>
  <c r="P84" i="1"/>
  <c r="P11" i="6"/>
  <c r="J88" i="1"/>
  <c r="J15" i="6"/>
  <c r="N83" i="1"/>
  <c r="N10" i="6"/>
  <c r="G87" i="1"/>
  <c r="G14" i="6"/>
  <c r="I88" i="1"/>
  <c r="I15" i="6"/>
  <c r="N85" i="1"/>
  <c r="N12" i="6"/>
  <c r="H86" i="1"/>
  <c r="H13" i="6"/>
  <c r="K88" i="1"/>
  <c r="K15" i="6"/>
  <c r="I83" i="1"/>
  <c r="I10" i="6"/>
  <c r="L85" i="1"/>
  <c r="L12" i="6"/>
  <c r="H87" i="1"/>
  <c r="H14" i="6"/>
  <c r="L83" i="1"/>
  <c r="L10" i="6"/>
  <c r="K85" i="1"/>
  <c r="K12" i="6"/>
  <c r="L86" i="1"/>
  <c r="L13" i="6"/>
  <c r="J87" i="1"/>
  <c r="J14" i="6"/>
  <c r="O87" i="1"/>
  <c r="O14" i="6"/>
  <c r="M84" i="1"/>
  <c r="M11" i="6"/>
  <c r="I85" i="1"/>
  <c r="I12" i="6"/>
  <c r="P83" i="1"/>
  <c r="P10" i="6"/>
  <c r="P88" i="1"/>
  <c r="P15" i="6"/>
  <c r="G83" i="1"/>
  <c r="G10" i="6"/>
  <c r="J85" i="1"/>
  <c r="J12" i="6"/>
  <c r="N84" i="1"/>
  <c r="N11" i="6"/>
  <c r="J84" i="1"/>
  <c r="J11" i="6"/>
  <c r="P85" i="1"/>
  <c r="P12" i="6"/>
  <c r="L88" i="1"/>
  <c r="L15" i="6"/>
  <c r="H83" i="1"/>
  <c r="H10" i="6"/>
  <c r="H88" i="1"/>
  <c r="H15" i="6"/>
  <c r="G84" i="1"/>
  <c r="G11" i="6"/>
  <c r="O85" i="1"/>
  <c r="O12" i="6"/>
  <c r="K83" i="1"/>
  <c r="K10" i="6"/>
  <c r="L84" i="1"/>
  <c r="L11" i="6"/>
  <c r="N88" i="1"/>
  <c r="N15" i="6"/>
  <c r="V48" i="1"/>
  <c r="O83" i="1"/>
  <c r="O10" i="6"/>
  <c r="H84" i="1"/>
  <c r="H11" i="6"/>
  <c r="H85" i="1"/>
  <c r="H12" i="6"/>
  <c r="G85" i="1"/>
  <c r="G12" i="6"/>
  <c r="K84" i="1"/>
  <c r="K11" i="6"/>
  <c r="N87" i="1"/>
  <c r="N14" i="6"/>
  <c r="F87" i="1"/>
  <c r="F14" i="6"/>
  <c r="E84" i="1"/>
  <c r="E11" i="6"/>
  <c r="E85" i="1"/>
  <c r="E12" i="6"/>
  <c r="E88" i="1"/>
  <c r="E15" i="6"/>
  <c r="F83" i="1"/>
  <c r="F10" i="6"/>
  <c r="F88" i="1"/>
  <c r="F15" i="6"/>
  <c r="E83" i="1"/>
  <c r="E10" i="6"/>
  <c r="D81" i="1"/>
  <c r="D8" i="6"/>
  <c r="G81" i="1"/>
  <c r="G8" i="6"/>
  <c r="H79" i="1"/>
  <c r="H6" i="6"/>
  <c r="E82" i="1"/>
  <c r="E9" i="6"/>
  <c r="V42" i="1"/>
  <c r="K7" i="6"/>
  <c r="M81" i="1"/>
  <c r="M8" i="6"/>
  <c r="L82" i="1"/>
  <c r="L9" i="6"/>
  <c r="K82" i="1"/>
  <c r="K9" i="6"/>
  <c r="J79" i="1"/>
  <c r="J6" i="6"/>
  <c r="E81" i="1"/>
  <c r="E8" i="6"/>
  <c r="I82" i="1"/>
  <c r="I9" i="6"/>
  <c r="G79" i="1"/>
  <c r="G6" i="6"/>
  <c r="J82" i="1"/>
  <c r="J9" i="6"/>
  <c r="P80" i="1"/>
  <c r="P7" i="6"/>
  <c r="J80" i="1"/>
  <c r="J7" i="6"/>
  <c r="I80" i="1"/>
  <c r="I7" i="6"/>
  <c r="F81" i="1"/>
  <c r="F8" i="6"/>
  <c r="G82" i="1"/>
  <c r="G9" i="6"/>
  <c r="E79" i="1"/>
  <c r="E6" i="6"/>
  <c r="N81" i="1"/>
  <c r="N8" i="6"/>
  <c r="M79" i="1"/>
  <c r="M6" i="6"/>
  <c r="L81" i="1"/>
  <c r="L8" i="6"/>
  <c r="N82" i="1"/>
  <c r="N9" i="6"/>
  <c r="K79" i="1"/>
  <c r="K6" i="6"/>
  <c r="O82" i="1"/>
  <c r="O9" i="6"/>
  <c r="O81" i="1"/>
  <c r="O8" i="6"/>
  <c r="F82" i="1"/>
  <c r="F9" i="6"/>
  <c r="I79" i="1"/>
  <c r="I6" i="6"/>
  <c r="I78" i="1"/>
  <c r="I5" i="6"/>
  <c r="H78" i="1"/>
  <c r="H5" i="6"/>
  <c r="G78" i="1"/>
  <c r="G5" i="6"/>
  <c r="V54" i="1"/>
  <c r="V52" i="1"/>
  <c r="D89" i="1"/>
  <c r="V51" i="1"/>
  <c r="V50" i="1"/>
  <c r="V43" i="1"/>
  <c r="K80" i="1"/>
  <c r="D87" i="1"/>
  <c r="V49" i="1"/>
  <c r="D85" i="1"/>
  <c r="V47" i="1"/>
  <c r="V46" i="1"/>
  <c r="V45" i="1"/>
  <c r="D82" i="1"/>
  <c r="V44" i="1"/>
  <c r="M73" i="1" l="1"/>
  <c r="L73" i="1"/>
  <c r="D73" i="1"/>
  <c r="Q73" i="1"/>
  <c r="H73" i="1"/>
  <c r="O73" i="1"/>
  <c r="E73" i="1"/>
  <c r="K73" i="1"/>
  <c r="I73" i="1"/>
  <c r="P73" i="1"/>
  <c r="F73" i="1"/>
  <c r="J73" i="1"/>
  <c r="G73" i="1"/>
  <c r="N73" i="1"/>
  <c r="J72" i="1"/>
  <c r="G72" i="1"/>
  <c r="M72" i="1"/>
  <c r="L72" i="1"/>
  <c r="Q72" i="1"/>
  <c r="I72" i="1"/>
  <c r="O72" i="1"/>
  <c r="F72" i="1"/>
  <c r="E72" i="1"/>
  <c r="K72" i="1"/>
  <c r="P72" i="1"/>
  <c r="H72" i="1"/>
  <c r="N72" i="1"/>
  <c r="D72" i="1"/>
  <c r="K66" i="1"/>
  <c r="J66" i="1"/>
  <c r="L66" i="1"/>
  <c r="Q66" i="1"/>
  <c r="I66" i="1"/>
  <c r="H66" i="1"/>
  <c r="F66" i="1"/>
  <c r="E66" i="1"/>
  <c r="P66" i="1"/>
  <c r="N66" i="1"/>
  <c r="O66" i="1"/>
  <c r="G66" i="1"/>
  <c r="M66" i="1"/>
  <c r="D66" i="1"/>
  <c r="M61" i="1"/>
  <c r="E61" i="1"/>
  <c r="L61" i="1"/>
  <c r="D61" i="1"/>
  <c r="N61" i="1"/>
  <c r="K61" i="1"/>
  <c r="G61" i="1"/>
  <c r="J61" i="1"/>
  <c r="O61" i="1"/>
  <c r="Q61" i="1"/>
  <c r="I61" i="1"/>
  <c r="P61" i="1"/>
  <c r="H61" i="1"/>
  <c r="F61" i="1"/>
  <c r="O68" i="1"/>
  <c r="G68" i="1"/>
  <c r="N68" i="1"/>
  <c r="F68" i="1"/>
  <c r="M68" i="1"/>
  <c r="E68" i="1"/>
  <c r="D68" i="1"/>
  <c r="I68" i="1"/>
  <c r="L68" i="1"/>
  <c r="K68" i="1"/>
  <c r="J68" i="1"/>
  <c r="Q68" i="1"/>
  <c r="H68" i="1"/>
  <c r="P68" i="1"/>
  <c r="M71" i="1"/>
  <c r="E71" i="1"/>
  <c r="L71" i="1"/>
  <c r="D71" i="1"/>
  <c r="K71" i="1"/>
  <c r="J71" i="1"/>
  <c r="O71" i="1"/>
  <c r="Q71" i="1"/>
  <c r="I71" i="1"/>
  <c r="P71" i="1"/>
  <c r="H71" i="1"/>
  <c r="G71" i="1"/>
  <c r="F71" i="1"/>
  <c r="N71" i="1"/>
  <c r="M67" i="1"/>
  <c r="E67" i="1"/>
  <c r="L67" i="1"/>
  <c r="D67" i="1"/>
  <c r="G67" i="1"/>
  <c r="K67" i="1"/>
  <c r="P67" i="1"/>
  <c r="N67" i="1"/>
  <c r="J67" i="1"/>
  <c r="O67" i="1"/>
  <c r="F67" i="1"/>
  <c r="Q67" i="1"/>
  <c r="I67" i="1"/>
  <c r="H67" i="1"/>
  <c r="Q63" i="1"/>
  <c r="I63" i="1"/>
  <c r="P63" i="1"/>
  <c r="H63" i="1"/>
  <c r="O63" i="1"/>
  <c r="G63" i="1"/>
  <c r="K63" i="1"/>
  <c r="N63" i="1"/>
  <c r="F63" i="1"/>
  <c r="M63" i="1"/>
  <c r="E63" i="1"/>
  <c r="L63" i="1"/>
  <c r="D63" i="1"/>
  <c r="J63" i="1"/>
  <c r="O62" i="1"/>
  <c r="G62" i="1"/>
  <c r="N62" i="1"/>
  <c r="F62" i="1"/>
  <c r="M62" i="1"/>
  <c r="E62" i="1"/>
  <c r="L62" i="1"/>
  <c r="D62" i="1"/>
  <c r="Q62" i="1"/>
  <c r="K62" i="1"/>
  <c r="J62" i="1"/>
  <c r="I62" i="1"/>
  <c r="P62" i="1"/>
  <c r="H62" i="1"/>
  <c r="O64" i="1"/>
  <c r="G64" i="1"/>
  <c r="N64" i="1"/>
  <c r="F64" i="1"/>
  <c r="Q64" i="1"/>
  <c r="H64" i="1"/>
  <c r="M64" i="1"/>
  <c r="E64" i="1"/>
  <c r="D64" i="1"/>
  <c r="J64" i="1"/>
  <c r="P64" i="1"/>
  <c r="L64" i="1"/>
  <c r="K64" i="1"/>
  <c r="I64" i="1"/>
  <c r="Q69" i="1"/>
  <c r="I69" i="1"/>
  <c r="P69" i="1"/>
  <c r="H69" i="1"/>
  <c r="K69" i="1"/>
  <c r="O69" i="1"/>
  <c r="G69" i="1"/>
  <c r="F69" i="1"/>
  <c r="N69" i="1"/>
  <c r="J69" i="1"/>
  <c r="M69" i="1"/>
  <c r="E69" i="1"/>
  <c r="L69" i="1"/>
  <c r="D69" i="1"/>
  <c r="Q65" i="1"/>
  <c r="I65" i="1"/>
  <c r="P65" i="1"/>
  <c r="H65" i="1"/>
  <c r="O65" i="1"/>
  <c r="G65" i="1"/>
  <c r="F65" i="1"/>
  <c r="N65" i="1"/>
  <c r="D65" i="1"/>
  <c r="K65" i="1"/>
  <c r="M65" i="1"/>
  <c r="E65" i="1"/>
  <c r="L65" i="1"/>
  <c r="J65" i="1"/>
  <c r="K70" i="1"/>
  <c r="J70" i="1"/>
  <c r="L70" i="1"/>
  <c r="Q70" i="1"/>
  <c r="I70" i="1"/>
  <c r="H70" i="1"/>
  <c r="M70" i="1"/>
  <c r="D70" i="1"/>
  <c r="P70" i="1"/>
  <c r="E70" i="1"/>
  <c r="O70" i="1"/>
  <c r="G70" i="1"/>
  <c r="N70" i="1"/>
  <c r="F70" i="1"/>
  <c r="V72" i="1"/>
  <c r="V73" i="1"/>
  <c r="V71" i="1"/>
  <c r="V60" i="1"/>
  <c r="V67" i="1"/>
  <c r="V70" i="1"/>
  <c r="V64" i="1"/>
  <c r="V65" i="1"/>
  <c r="V69" i="1"/>
  <c r="V68" i="1"/>
  <c r="V61" i="1"/>
  <c r="V66" i="1"/>
  <c r="V62" i="1"/>
  <c r="V63" i="1"/>
  <c r="D23" i="6"/>
  <c r="P78" i="1" l="1"/>
  <c r="O78" i="1"/>
  <c r="N78" i="1"/>
  <c r="M78" i="1"/>
  <c r="L78" i="1"/>
  <c r="K78" i="1"/>
  <c r="J78" i="1"/>
  <c r="V59" i="1" l="1"/>
  <c r="Q34" i="6"/>
  <c r="P34" i="6"/>
  <c r="O34" i="6"/>
  <c r="N34" i="6"/>
  <c r="M34" i="6"/>
  <c r="L34" i="6"/>
  <c r="K34" i="6"/>
  <c r="J34" i="6"/>
  <c r="I34" i="6"/>
  <c r="H34" i="6"/>
  <c r="G34" i="6"/>
  <c r="F34" i="6"/>
  <c r="E34" i="6"/>
  <c r="D34" i="6"/>
  <c r="Q32" i="6"/>
  <c r="P32" i="6"/>
  <c r="O32" i="6"/>
  <c r="N32" i="6"/>
  <c r="M32" i="6"/>
  <c r="L32" i="6"/>
  <c r="K32" i="6"/>
  <c r="Q30" i="6"/>
  <c r="P30" i="6"/>
  <c r="O30" i="6"/>
  <c r="N30" i="6"/>
  <c r="M30" i="6"/>
  <c r="L30" i="6"/>
  <c r="K30" i="6"/>
  <c r="Q28" i="6"/>
  <c r="P28" i="6"/>
  <c r="O28" i="6"/>
  <c r="Q26" i="6"/>
  <c r="P26" i="6"/>
  <c r="O26" i="6"/>
  <c r="B17" i="6"/>
  <c r="B16" i="6"/>
  <c r="B15" i="6"/>
  <c r="B14" i="6"/>
  <c r="B32" i="6" s="1"/>
  <c r="B50" i="6" s="1"/>
  <c r="B13" i="6"/>
  <c r="B31" i="6" s="1"/>
  <c r="B49" i="6" s="1"/>
  <c r="B11" i="6"/>
  <c r="B29" i="6" s="1"/>
  <c r="B47" i="6" s="1"/>
  <c r="B10" i="6"/>
  <c r="B28" i="6" s="1"/>
  <c r="B46" i="6" s="1"/>
  <c r="C9" i="6"/>
  <c r="C27" i="6" s="1"/>
  <c r="C45" i="6" s="1"/>
  <c r="C8" i="6"/>
  <c r="C26" i="6" s="1"/>
  <c r="C44" i="6" s="1"/>
  <c r="C7" i="6"/>
  <c r="C25" i="6" s="1"/>
  <c r="C43" i="6" s="1"/>
  <c r="C6" i="6"/>
  <c r="C24" i="6" s="1"/>
  <c r="C42" i="6" s="1"/>
  <c r="D41" i="6"/>
  <c r="P46" i="6"/>
  <c r="O46" i="6"/>
  <c r="N46" i="6"/>
  <c r="H46" i="6"/>
  <c r="D48" i="6"/>
  <c r="E48" i="6"/>
  <c r="F48" i="6"/>
  <c r="H48" i="6"/>
  <c r="I48" i="6"/>
  <c r="J48" i="6"/>
  <c r="K48" i="6"/>
  <c r="L48" i="6"/>
  <c r="M48" i="6"/>
  <c r="N48" i="6"/>
  <c r="P48" i="6"/>
  <c r="P77" i="1"/>
  <c r="B45" i="1"/>
  <c r="B64" i="1" s="1"/>
  <c r="B83" i="1" s="1"/>
  <c r="B55" i="6"/>
  <c r="B54" i="6"/>
  <c r="B48" i="1"/>
  <c r="B67" i="1" s="1"/>
  <c r="B86" i="1" s="1"/>
  <c r="B47" i="1"/>
  <c r="B66" i="1" s="1"/>
  <c r="B85" i="1" s="1"/>
  <c r="B37" i="6"/>
  <c r="B36" i="6"/>
  <c r="B52" i="1"/>
  <c r="B51" i="1"/>
  <c r="B50" i="1"/>
  <c r="B40" i="1"/>
  <c r="B59" i="1" s="1"/>
  <c r="B78" i="1" s="1"/>
  <c r="C41" i="1"/>
  <c r="C60" i="1" s="1"/>
  <c r="C79" i="1" s="1"/>
  <c r="C42" i="1"/>
  <c r="C61" i="1" s="1"/>
  <c r="C80" i="1" s="1"/>
  <c r="C43" i="1"/>
  <c r="C62" i="1" s="1"/>
  <c r="C81" i="1" s="1"/>
  <c r="C44" i="1"/>
  <c r="C63" i="1" s="1"/>
  <c r="C82" i="1" s="1"/>
  <c r="B46" i="1"/>
  <c r="B65" i="1" s="1"/>
  <c r="B84" i="1" s="1"/>
  <c r="B35" i="6" l="1"/>
  <c r="B90" i="1"/>
  <c r="T71" i="1"/>
  <c r="B71" i="1"/>
  <c r="B53" i="6" s="1"/>
  <c r="T52" i="1"/>
  <c r="B34" i="6"/>
  <c r="B89" i="1"/>
  <c r="T70" i="1"/>
  <c r="B70" i="1"/>
  <c r="B52" i="6" s="1"/>
  <c r="T51" i="1"/>
  <c r="B33" i="6"/>
  <c r="B69" i="1"/>
  <c r="B51" i="6" s="1"/>
  <c r="T50" i="1"/>
  <c r="T69" i="1"/>
  <c r="B88" i="1"/>
  <c r="O48" i="6"/>
  <c r="G48" i="6"/>
  <c r="D53" i="6"/>
  <c r="O54" i="6"/>
  <c r="J53" i="6"/>
  <c r="F55" i="6"/>
  <c r="L53" i="6"/>
  <c r="G55" i="6"/>
  <c r="I44" i="6"/>
  <c r="D54" i="6"/>
  <c r="J55" i="6"/>
  <c r="K45" i="6"/>
  <c r="E54" i="6"/>
  <c r="K55" i="6"/>
  <c r="G54" i="6"/>
  <c r="N55" i="6"/>
  <c r="H52" i="6"/>
  <c r="L54" i="6"/>
  <c r="O55" i="6"/>
  <c r="I52" i="6"/>
  <c r="M54" i="6"/>
  <c r="P42" i="6"/>
  <c r="P44" i="6"/>
  <c r="P47" i="6"/>
  <c r="O49" i="6"/>
  <c r="P52" i="6"/>
  <c r="K53" i="6"/>
  <c r="F54" i="6"/>
  <c r="N54" i="6"/>
  <c r="I55" i="6"/>
  <c r="E43" i="6"/>
  <c r="P49" i="6"/>
  <c r="G41" i="6"/>
  <c r="F43" i="6"/>
  <c r="J50" i="6"/>
  <c r="E53" i="6"/>
  <c r="M53" i="6"/>
  <c r="H54" i="6"/>
  <c r="P54" i="6"/>
  <c r="H41" i="6"/>
  <c r="M43" i="6"/>
  <c r="L45" i="6"/>
  <c r="K50" i="6"/>
  <c r="F53" i="6"/>
  <c r="N53" i="6"/>
  <c r="I54" i="6"/>
  <c r="D55" i="6"/>
  <c r="L55" i="6"/>
  <c r="D45" i="6"/>
  <c r="O41" i="6"/>
  <c r="N43" i="6"/>
  <c r="P45" i="6"/>
  <c r="P50" i="6"/>
  <c r="G53" i="6"/>
  <c r="O53" i="6"/>
  <c r="J54" i="6"/>
  <c r="E55" i="6"/>
  <c r="M55" i="6"/>
  <c r="P41" i="6"/>
  <c r="P43" i="6"/>
  <c r="F46" i="6"/>
  <c r="P51" i="6"/>
  <c r="H53" i="6"/>
  <c r="P53" i="6"/>
  <c r="K54" i="6"/>
  <c r="J42" i="6"/>
  <c r="H44" i="6"/>
  <c r="G49" i="6"/>
  <c r="I53" i="6"/>
  <c r="K42" i="6"/>
  <c r="H49" i="6"/>
  <c r="H55" i="6"/>
  <c r="P55" i="6"/>
  <c r="E51" i="6"/>
  <c r="I41" i="6"/>
  <c r="D42" i="6"/>
  <c r="L42" i="6"/>
  <c r="G43" i="6"/>
  <c r="O43" i="6"/>
  <c r="J44" i="6"/>
  <c r="E45" i="6"/>
  <c r="M45" i="6"/>
  <c r="K47" i="6"/>
  <c r="I49" i="6"/>
  <c r="D50" i="6"/>
  <c r="L50" i="6"/>
  <c r="G51" i="6"/>
  <c r="O51" i="6"/>
  <c r="J52" i="6"/>
  <c r="F51" i="6"/>
  <c r="N51" i="6"/>
  <c r="J41" i="6"/>
  <c r="E42" i="6"/>
  <c r="M42" i="6"/>
  <c r="H43" i="6"/>
  <c r="K44" i="6"/>
  <c r="F45" i="6"/>
  <c r="N45" i="6"/>
  <c r="I46" i="6"/>
  <c r="D47" i="6"/>
  <c r="L47" i="6"/>
  <c r="J49" i="6"/>
  <c r="E50" i="6"/>
  <c r="M50" i="6"/>
  <c r="H51" i="6"/>
  <c r="K52" i="6"/>
  <c r="K41" i="6"/>
  <c r="F42" i="6"/>
  <c r="N42" i="6"/>
  <c r="I43" i="6"/>
  <c r="D44" i="6"/>
  <c r="L44" i="6"/>
  <c r="G45" i="6"/>
  <c r="O45" i="6"/>
  <c r="J46" i="6"/>
  <c r="E47" i="6"/>
  <c r="M47" i="6"/>
  <c r="K49" i="6"/>
  <c r="F50" i="6"/>
  <c r="N50" i="6"/>
  <c r="I51" i="6"/>
  <c r="D52" i="6"/>
  <c r="L52" i="6"/>
  <c r="G46" i="6"/>
  <c r="J47" i="6"/>
  <c r="L41" i="6"/>
  <c r="G42" i="6"/>
  <c r="O42" i="6"/>
  <c r="J43" i="6"/>
  <c r="E44" i="6"/>
  <c r="M44" i="6"/>
  <c r="H45" i="6"/>
  <c r="K46" i="6"/>
  <c r="F47" i="6"/>
  <c r="N47" i="6"/>
  <c r="D49" i="6"/>
  <c r="L49" i="6"/>
  <c r="G50" i="6"/>
  <c r="O50" i="6"/>
  <c r="J51" i="6"/>
  <c r="E52" i="6"/>
  <c r="M52" i="6"/>
  <c r="I47" i="6"/>
  <c r="M51" i="6"/>
  <c r="E41" i="6"/>
  <c r="M41" i="6"/>
  <c r="H42" i="6"/>
  <c r="K43" i="6"/>
  <c r="F44" i="6"/>
  <c r="N44" i="6"/>
  <c r="I45" i="6"/>
  <c r="D46" i="6"/>
  <c r="L46" i="6"/>
  <c r="G47" i="6"/>
  <c r="O47" i="6"/>
  <c r="E49" i="6"/>
  <c r="M49" i="6"/>
  <c r="H50" i="6"/>
  <c r="K51" i="6"/>
  <c r="F52" i="6"/>
  <c r="N52" i="6"/>
  <c r="F41" i="6"/>
  <c r="N41" i="6"/>
  <c r="I42" i="6"/>
  <c r="D43" i="6"/>
  <c r="L43" i="6"/>
  <c r="G44" i="6"/>
  <c r="O44" i="6"/>
  <c r="J45" i="6"/>
  <c r="E46" i="6"/>
  <c r="M46" i="6"/>
  <c r="H47" i="6"/>
  <c r="F49" i="6"/>
  <c r="N49" i="6"/>
  <c r="I50" i="6"/>
  <c r="D51" i="6"/>
  <c r="L51" i="6"/>
  <c r="G52" i="6"/>
  <c r="O52" i="6"/>
  <c r="U12" i="6"/>
  <c r="U10" i="6"/>
  <c r="V41" i="1"/>
  <c r="U14" i="6"/>
  <c r="Q23" i="6"/>
  <c r="U16" i="6"/>
  <c r="G26" i="6"/>
  <c r="K28" i="6"/>
  <c r="D28" i="6"/>
  <c r="L28" i="6"/>
  <c r="H30" i="6"/>
  <c r="E28" i="6"/>
  <c r="M28" i="6"/>
  <c r="J26" i="6"/>
  <c r="F28" i="6"/>
  <c r="N28" i="6"/>
  <c r="G28" i="6"/>
  <c r="H28" i="6"/>
  <c r="S14" i="6"/>
  <c r="T6" i="6"/>
  <c r="S32" i="6"/>
  <c r="T24" i="6"/>
  <c r="S13" i="6"/>
  <c r="S31" i="6"/>
  <c r="S19" i="6"/>
  <c r="S11" i="6"/>
  <c r="S37" i="6"/>
  <c r="S29" i="6"/>
  <c r="S18" i="6"/>
  <c r="S10" i="6"/>
  <c r="S36" i="6"/>
  <c r="S28" i="6"/>
  <c r="B12" i="6"/>
  <c r="S17" i="6"/>
  <c r="T9" i="6"/>
  <c r="S35" i="6"/>
  <c r="T27" i="6"/>
  <c r="B5" i="6"/>
  <c r="T40" i="1" s="1"/>
  <c r="S16" i="6"/>
  <c r="T8" i="6"/>
  <c r="S34" i="6"/>
  <c r="T26" i="6"/>
  <c r="S15" i="6"/>
  <c r="T7" i="6"/>
  <c r="S33" i="6"/>
  <c r="T25" i="6"/>
  <c r="T49" i="1"/>
  <c r="U43" i="1"/>
  <c r="U62" i="1"/>
  <c r="U61" i="1"/>
  <c r="U42" i="1"/>
  <c r="T68" i="1"/>
  <c r="T64" i="1"/>
  <c r="T45" i="1"/>
  <c r="U60" i="1"/>
  <c r="T48" i="1"/>
  <c r="U41" i="1"/>
  <c r="T67" i="1"/>
  <c r="U63" i="1"/>
  <c r="U44" i="1"/>
  <c r="T65" i="1"/>
  <c r="T46" i="1"/>
  <c r="K60" i="1" l="1"/>
  <c r="K24" i="6" s="1"/>
  <c r="J60" i="1"/>
  <c r="J24" i="6" s="1"/>
  <c r="Q60" i="1"/>
  <c r="Q24" i="6" s="1"/>
  <c r="I60" i="1"/>
  <c r="I24" i="6" s="1"/>
  <c r="P60" i="1"/>
  <c r="P24" i="6" s="1"/>
  <c r="E60" i="1"/>
  <c r="E24" i="6" s="1"/>
  <c r="D60" i="1"/>
  <c r="D24" i="6" s="1"/>
  <c r="H60" i="1"/>
  <c r="H24" i="6" s="1"/>
  <c r="L60" i="1"/>
  <c r="L24" i="6" s="1"/>
  <c r="O60" i="1"/>
  <c r="O24" i="6" s="1"/>
  <c r="G60" i="1"/>
  <c r="G24" i="6" s="1"/>
  <c r="N60" i="1"/>
  <c r="N24" i="6" s="1"/>
  <c r="F60" i="1"/>
  <c r="F24" i="6" s="1"/>
  <c r="M60" i="1"/>
  <c r="M24" i="6" s="1"/>
  <c r="U8" i="6"/>
  <c r="D26" i="6"/>
  <c r="E26" i="6"/>
  <c r="Q25" i="6"/>
  <c r="I25" i="6"/>
  <c r="P25" i="6"/>
  <c r="H25" i="6"/>
  <c r="J25" i="6"/>
  <c r="O25" i="6"/>
  <c r="G25" i="6"/>
  <c r="N25" i="6"/>
  <c r="F25" i="6"/>
  <c r="M25" i="6"/>
  <c r="E25" i="6"/>
  <c r="L25" i="6"/>
  <c r="K25" i="6"/>
  <c r="D25" i="6"/>
  <c r="U13" i="6"/>
  <c r="N31" i="6"/>
  <c r="F31" i="6"/>
  <c r="M31" i="6"/>
  <c r="E31" i="6"/>
  <c r="H31" i="6"/>
  <c r="L31" i="6"/>
  <c r="D31" i="6"/>
  <c r="K31" i="6"/>
  <c r="O31" i="6"/>
  <c r="J31" i="6"/>
  <c r="P31" i="6"/>
  <c r="Q31" i="6"/>
  <c r="I31" i="6"/>
  <c r="U17" i="6"/>
  <c r="N35" i="6"/>
  <c r="F35" i="6"/>
  <c r="M35" i="6"/>
  <c r="E35" i="6"/>
  <c r="P35" i="6"/>
  <c r="L35" i="6"/>
  <c r="D35" i="6"/>
  <c r="H35" i="6"/>
  <c r="G35" i="6"/>
  <c r="K35" i="6"/>
  <c r="J35" i="6"/>
  <c r="O35" i="6"/>
  <c r="Q35" i="6"/>
  <c r="I35" i="6"/>
  <c r="J37" i="6"/>
  <c r="Q37" i="6"/>
  <c r="I37" i="6"/>
  <c r="P37" i="6"/>
  <c r="H37" i="6"/>
  <c r="L37" i="6"/>
  <c r="N37" i="6"/>
  <c r="F37" i="6"/>
  <c r="M37" i="6"/>
  <c r="E37" i="6"/>
  <c r="D37" i="6"/>
  <c r="N27" i="6"/>
  <c r="F27" i="6"/>
  <c r="E27" i="6"/>
  <c r="O27" i="6"/>
  <c r="L27" i="6"/>
  <c r="D27" i="6"/>
  <c r="H27" i="6"/>
  <c r="K27" i="6"/>
  <c r="G27" i="6"/>
  <c r="J27" i="6"/>
  <c r="P27" i="6"/>
  <c r="Q27" i="6"/>
  <c r="I27" i="6"/>
  <c r="U15" i="6"/>
  <c r="J33" i="6"/>
  <c r="D33" i="6"/>
  <c r="Q33" i="6"/>
  <c r="I33" i="6"/>
  <c r="P33" i="6"/>
  <c r="H33" i="6"/>
  <c r="O33" i="6"/>
  <c r="G33" i="6"/>
  <c r="N33" i="6"/>
  <c r="F33" i="6"/>
  <c r="L33" i="6"/>
  <c r="M33" i="6"/>
  <c r="E33" i="6"/>
  <c r="K33" i="6"/>
  <c r="U11" i="6"/>
  <c r="J29" i="6"/>
  <c r="L29" i="6"/>
  <c r="Q29" i="6"/>
  <c r="I29" i="6"/>
  <c r="P29" i="6"/>
  <c r="H29" i="6"/>
  <c r="K29" i="6"/>
  <c r="O29" i="6"/>
  <c r="G29" i="6"/>
  <c r="D29" i="6"/>
  <c r="N29" i="6"/>
  <c r="F29" i="6"/>
  <c r="M29" i="6"/>
  <c r="E29" i="6"/>
  <c r="U7" i="6"/>
  <c r="U19" i="6"/>
  <c r="O37" i="6"/>
  <c r="G37" i="6"/>
  <c r="K37" i="6"/>
  <c r="U18" i="6"/>
  <c r="N36" i="6"/>
  <c r="F36" i="6"/>
  <c r="J36" i="6"/>
  <c r="M36" i="6"/>
  <c r="E36" i="6"/>
  <c r="L36" i="6"/>
  <c r="D36" i="6"/>
  <c r="K36" i="6"/>
  <c r="Q36" i="6"/>
  <c r="I36" i="6"/>
  <c r="G36" i="6"/>
  <c r="P36" i="6"/>
  <c r="H36" i="6"/>
  <c r="O36" i="6"/>
  <c r="M23" i="6"/>
  <c r="N23" i="6"/>
  <c r="O23" i="6"/>
  <c r="P23" i="6"/>
  <c r="G23" i="6"/>
  <c r="U5" i="6"/>
  <c r="U9" i="6"/>
  <c r="U6" i="6"/>
  <c r="U30" i="6"/>
  <c r="U35" i="6"/>
  <c r="U36" i="6"/>
  <c r="U34" i="6"/>
  <c r="U23" i="6"/>
  <c r="U27" i="6"/>
  <c r="U33" i="6"/>
  <c r="U28" i="6"/>
  <c r="U31" i="6"/>
  <c r="U26" i="6"/>
  <c r="U37" i="6"/>
  <c r="U25" i="6"/>
  <c r="U32" i="6"/>
  <c r="U29" i="6"/>
  <c r="U24" i="6"/>
  <c r="F23" i="6"/>
  <c r="E23" i="6"/>
  <c r="H23" i="6"/>
  <c r="G30" i="6"/>
  <c r="M27" i="6"/>
  <c r="J30" i="6"/>
  <c r="K23" i="6"/>
  <c r="I23" i="6"/>
  <c r="E30" i="6"/>
  <c r="J23" i="6"/>
  <c r="I30" i="6"/>
  <c r="D30" i="6"/>
  <c r="L23" i="6"/>
  <c r="F30" i="6"/>
  <c r="G32" i="6"/>
  <c r="F32" i="6"/>
  <c r="D32" i="6"/>
  <c r="G31" i="6"/>
  <c r="H32" i="6"/>
  <c r="I32" i="6"/>
  <c r="J32" i="6"/>
  <c r="K26" i="6"/>
  <c r="N26" i="6"/>
  <c r="M26" i="6"/>
  <c r="L26" i="6"/>
  <c r="I26" i="6"/>
  <c r="H26" i="6"/>
  <c r="F26" i="6"/>
  <c r="I28" i="6"/>
  <c r="J28" i="6"/>
  <c r="E32" i="6"/>
  <c r="T47" i="1"/>
  <c r="S30" i="6"/>
  <c r="S12" i="6"/>
  <c r="B30" i="6"/>
  <c r="B23" i="6"/>
  <c r="S23" i="6"/>
  <c r="S5" i="6"/>
  <c r="B41" i="6" l="1"/>
  <c r="T59" i="1"/>
  <c r="B48" i="6"/>
  <c r="T66" i="1"/>
  <c r="D77" i="1" l="1"/>
  <c r="E77" i="1"/>
  <c r="F77" i="1"/>
  <c r="G77" i="1"/>
  <c r="H77" i="1"/>
  <c r="I77" i="1"/>
  <c r="J77" i="1"/>
  <c r="K77" i="1"/>
  <c r="L77" i="1"/>
  <c r="M77" i="1"/>
  <c r="N77" i="1"/>
  <c r="O77" i="1"/>
  <c r="B49" i="1"/>
  <c r="B68" i="1" s="1"/>
  <c r="B87" i="1" s="1"/>
  <c r="S93" i="1"/>
  <c r="S94" i="1"/>
  <c r="S95" i="1"/>
  <c r="S96" i="1"/>
  <c r="S97" i="1"/>
  <c r="S101" i="1"/>
</calcChain>
</file>

<file path=xl/sharedStrings.xml><?xml version="1.0" encoding="utf-8"?>
<sst xmlns="http://schemas.openxmlformats.org/spreadsheetml/2006/main" count="158" uniqueCount="66">
  <si>
    <t>Day 1</t>
  </si>
  <si>
    <t>Day 2</t>
  </si>
  <si>
    <t>Day 3</t>
  </si>
  <si>
    <t>Day 4</t>
  </si>
  <si>
    <t>Day 5</t>
  </si>
  <si>
    <t>Day 6</t>
  </si>
  <si>
    <t xml:space="preserve">Day 7 </t>
  </si>
  <si>
    <t>Day 8</t>
  </si>
  <si>
    <t>Day 9</t>
  </si>
  <si>
    <t>Day 10</t>
  </si>
  <si>
    <t>Day 11</t>
  </si>
  <si>
    <t>Day 12</t>
  </si>
  <si>
    <t>Day 13</t>
  </si>
  <si>
    <t>Day 14</t>
  </si>
  <si>
    <t>Type of PPE</t>
  </si>
  <si>
    <t>Gloves</t>
  </si>
  <si>
    <t>small</t>
  </si>
  <si>
    <t>medium</t>
  </si>
  <si>
    <t>large</t>
  </si>
  <si>
    <t>extra large</t>
  </si>
  <si>
    <t>Surgical Masks</t>
  </si>
  <si>
    <t>Day 1 -Day 2</t>
  </si>
  <si>
    <t>Day 2 - Day 3</t>
  </si>
  <si>
    <t>Day 3 - Day 4</t>
  </si>
  <si>
    <t>Day 4 - Day 5</t>
  </si>
  <si>
    <t>Day 5 - Day 6</t>
  </si>
  <si>
    <t>Day 6 - Day 7</t>
  </si>
  <si>
    <t>Day 7 - Day 8</t>
  </si>
  <si>
    <t>Day 8 - Day 9</t>
  </si>
  <si>
    <t>Day 9 - Day 10</t>
  </si>
  <si>
    <t>Day 10 - Day 11</t>
  </si>
  <si>
    <t>Day 11 - Day 12</t>
  </si>
  <si>
    <t>Day 12 - Day 13</t>
  </si>
  <si>
    <t>Day 13 - Day 14</t>
  </si>
  <si>
    <t>Day 7</t>
  </si>
  <si>
    <t>N95 Masks</t>
  </si>
  <si>
    <t>How Many COVID-19 Residents are Being Treated at Start of the Day?    Enter Below.</t>
  </si>
  <si>
    <t>Average Consumption of PPE used per Day</t>
  </si>
  <si>
    <t>Average Consumption of PPE used per Patient, per Day</t>
  </si>
  <si>
    <t xml:space="preserve">5) Make sure that each box of PPE has the same number of individual units (Example: a box of gloves may have 200 individual gloves). If they do not, start a new "Type of PPE" category in the cells that says "Other".   </t>
  </si>
  <si>
    <t>1) To start, go to the "Daily Data Entry" sheet and enter dates below Day 1, Day 2, Day 3, etc.</t>
  </si>
  <si>
    <t>2) Enter the total number of suspected and confirmed COVID-19 patients at the start of each day in the "Suspected and Confirmed COVID-19 Patients" row.</t>
  </si>
  <si>
    <t xml:space="preserve">3) At the start of each day, determine how many full boxes of PPE are remaining from the day before. Do this for each type of PPE and enter them into the appropriate box. </t>
  </si>
  <si>
    <t xml:space="preserve">4) "Type of PPE" refers to the PPE components you have in stock. "Gowns," "gloves," "respirators," "surgical masks," and "face shields" have been filled in for you.  Note: Additional types or brands of PPE can be added in the "Other" Type of PPE section as well.  </t>
  </si>
  <si>
    <t xml:space="preserve">6) Enter the number of full boxes of each Type of PPE  starting at Day 1 into the yellow cells.   Note: You do not need data for all 14 days, but at least 2 consecutive days of data are needed to calculate a consumption rate (Burn Rate). </t>
  </si>
  <si>
    <t>Quantity in Box</t>
  </si>
  <si>
    <t>Respirators</t>
  </si>
  <si>
    <t>Face Shields</t>
  </si>
  <si>
    <t>Burn Rate</t>
  </si>
  <si>
    <t>Gloves
(pairs)</t>
  </si>
  <si>
    <t>Total Number of PPE Used per Day   (negative numbers indicate daily supply increase)</t>
  </si>
  <si>
    <t>Number of Days Supply Remaining</t>
  </si>
  <si>
    <t>Amount of PPE used per patient (negative numbers indicate daily supply increase)</t>
  </si>
  <si>
    <r>
      <t>This spreadsheet is designed to help you track how quickly PPE is being used at your facility.</t>
    </r>
    <r>
      <rPr>
        <sz val="22"/>
        <color rgb="FF000000"/>
        <rFont val="Calibri"/>
        <family val="2"/>
        <scheme val="minor"/>
      </rPr>
      <t xml:space="preserve"> </t>
    </r>
    <r>
      <rPr>
        <b/>
        <sz val="22"/>
        <color rgb="FF000000"/>
        <rFont val="Calibri"/>
        <family val="2"/>
        <scheme val="minor"/>
      </rPr>
      <t> </t>
    </r>
    <r>
      <rPr>
        <sz val="22"/>
        <color rgb="FF000000"/>
        <rFont val="Calibri"/>
        <family val="2"/>
        <scheme val="minor"/>
      </rPr>
      <t xml:space="preserve">     </t>
    </r>
  </si>
  <si>
    <r>
      <t xml:space="preserve">How Many </t>
    </r>
    <r>
      <rPr>
        <b/>
        <u/>
        <sz val="14"/>
        <color theme="1"/>
        <rFont val="Calibri"/>
        <family val="2"/>
        <scheme val="minor"/>
      </rPr>
      <t>Full Boxes</t>
    </r>
    <r>
      <rPr>
        <b/>
        <sz val="14"/>
        <color theme="1"/>
        <rFont val="Calibri"/>
        <family val="2"/>
        <scheme val="minor"/>
      </rPr>
      <t xml:space="preserve"> Are Available/Remaining at Start of the Day?    Enter Below.     (ie.1 box of 100 gowns, 1 box/package of 1 face shields, etc.)</t>
    </r>
  </si>
  <si>
    <r>
      <t xml:space="preserve">Number of </t>
    </r>
    <r>
      <rPr>
        <b/>
        <u/>
        <sz val="14"/>
        <color theme="1"/>
        <rFont val="Calibri"/>
        <family val="2"/>
        <scheme val="minor"/>
      </rPr>
      <t>Suspected</t>
    </r>
    <r>
      <rPr>
        <b/>
        <sz val="14"/>
        <color theme="1"/>
        <rFont val="Calibri"/>
        <family val="2"/>
        <scheme val="minor"/>
      </rPr>
      <t xml:space="preserve"> and </t>
    </r>
    <r>
      <rPr>
        <b/>
        <u/>
        <sz val="14"/>
        <color theme="1"/>
        <rFont val="Calibri"/>
        <family val="2"/>
        <scheme val="minor"/>
      </rPr>
      <t>Confirmed</t>
    </r>
    <r>
      <rPr>
        <b/>
        <sz val="14"/>
        <color theme="1"/>
        <rFont val="Calibri"/>
        <family val="2"/>
        <scheme val="minor"/>
      </rPr>
      <t xml:space="preserve"> 
COVID-19 Residents</t>
    </r>
  </si>
  <si>
    <t>PPE Burn Rate Calculator Data Entry</t>
  </si>
  <si>
    <r>
      <rPr>
        <b/>
        <sz val="20"/>
        <color theme="1"/>
        <rFont val="Calibri"/>
        <family val="2"/>
        <scheme val="minor"/>
      </rPr>
      <t>Total Number of PPE Used per Day</t>
    </r>
    <r>
      <rPr>
        <b/>
        <sz val="28"/>
        <color theme="1"/>
        <rFont val="Calibri"/>
        <family val="2"/>
        <scheme val="minor"/>
      </rPr>
      <t xml:space="preserve">
</t>
    </r>
    <r>
      <rPr>
        <b/>
        <sz val="12"/>
        <color theme="1"/>
        <rFont val="Calibri"/>
        <family val="2"/>
        <scheme val="minor"/>
      </rPr>
      <t>(negative numbers indicate daily supply increase)</t>
    </r>
  </si>
  <si>
    <r>
      <rPr>
        <b/>
        <sz val="20"/>
        <color theme="1"/>
        <rFont val="Calibri"/>
        <family val="2"/>
        <scheme val="minor"/>
      </rPr>
      <t>Amount of PPE used per patient</t>
    </r>
    <r>
      <rPr>
        <b/>
        <sz val="28"/>
        <color theme="1"/>
        <rFont val="Calibri"/>
        <family val="2"/>
        <scheme val="minor"/>
      </rPr>
      <t xml:space="preserve">
</t>
    </r>
    <r>
      <rPr>
        <b/>
        <sz val="12"/>
        <color theme="1"/>
        <rFont val="Calibri"/>
        <family val="2"/>
        <scheme val="minor"/>
      </rPr>
      <t>(negative numbers indicate daily supply increase)</t>
    </r>
  </si>
  <si>
    <t>Disposable Gowns</t>
  </si>
  <si>
    <t>Fluid Resistant Gowns</t>
  </si>
  <si>
    <t>Washable Gowns</t>
  </si>
  <si>
    <t>Eye Protection - Goggles</t>
  </si>
  <si>
    <t>Other</t>
  </si>
  <si>
    <t xml:space="preserve">Other </t>
  </si>
  <si>
    <t>XX/XX/2021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</si>
</sst>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_);\(0\)"/>
  </numFmts>
  <fonts count="22" x14ac:knownFonts="1">
    <font>
      <sz val="11"/>
      <color theme="1"/>
      <name val="Calibri"/>
      <family val="2"/>
      <scheme val="minor"/>
    </font>
    <font>
      <b/>
      <sz val="11"/>
      <color rgb="FFFA7D00"/>
      <name val="Calibri"/>
      <family val="2"/>
      <scheme val="minor"/>
    </font>
    <font>
      <sz val="8"/>
      <name val="Calibri"/>
      <family val="2"/>
      <scheme val="minor"/>
    </font>
    <font>
      <b/>
      <sz val="12"/>
      <color theme="1"/>
      <name val="Calibri"/>
      <family val="2"/>
      <scheme val="minor"/>
    </font>
    <font>
      <sz val="12"/>
      <color theme="1"/>
      <name val="Calibri"/>
      <family val="2"/>
      <scheme val="minor"/>
    </font>
    <font>
      <b/>
      <sz val="12"/>
      <color rgb="FFFA7D00"/>
      <name val="Calibri"/>
      <family val="2"/>
      <scheme val="minor"/>
    </font>
    <font>
      <sz val="11"/>
      <color theme="1"/>
      <name val="Calibri"/>
      <family val="2"/>
      <scheme val="minor"/>
    </font>
    <font>
      <b/>
      <sz val="14"/>
      <color theme="1"/>
      <name val="Calibri"/>
      <family val="2"/>
      <scheme val="minor"/>
    </font>
    <font>
      <sz val="11"/>
      <color rgb="FFFF0000"/>
      <name val="Calibri"/>
      <family val="2"/>
      <scheme val="minor"/>
    </font>
    <font>
      <b/>
      <sz val="11"/>
      <color theme="1"/>
      <name val="Calibri"/>
      <family val="2"/>
      <scheme val="minor"/>
    </font>
    <font>
      <b/>
      <sz val="20"/>
      <color theme="1"/>
      <name val="Calibri"/>
      <family val="2"/>
      <scheme val="minor"/>
    </font>
    <font>
      <b/>
      <sz val="24"/>
      <color theme="1"/>
      <name val="Calibri"/>
      <family val="2"/>
      <scheme val="minor"/>
    </font>
    <font>
      <b/>
      <sz val="18"/>
      <color theme="1"/>
      <name val="Calibri"/>
      <family val="2"/>
      <scheme val="minor"/>
    </font>
    <font>
      <sz val="18"/>
      <color theme="1"/>
      <name val="Calibri"/>
      <family val="2"/>
      <scheme val="minor"/>
    </font>
    <font>
      <sz val="14"/>
      <color theme="1"/>
      <name val="Calibri"/>
      <family val="2"/>
      <scheme val="minor"/>
    </font>
    <font>
      <b/>
      <sz val="14"/>
      <color rgb="FFFA7D00"/>
      <name val="Calibri"/>
      <family val="2"/>
      <scheme val="minor"/>
    </font>
    <font>
      <b/>
      <u/>
      <sz val="14"/>
      <color theme="1"/>
      <name val="Calibri"/>
      <family val="2"/>
      <scheme val="minor"/>
    </font>
    <font>
      <sz val="12"/>
      <color rgb="FF222222"/>
      <name val="Roboto"/>
    </font>
    <font>
      <sz val="16"/>
      <color theme="1"/>
      <name val="Calibri"/>
      <family val="2"/>
      <scheme val="minor"/>
    </font>
    <font>
      <b/>
      <sz val="22"/>
      <color rgb="FF000000"/>
      <name val="Calibri"/>
      <family val="2"/>
      <scheme val="minor"/>
    </font>
    <font>
      <sz val="22"/>
      <color rgb="FF000000"/>
      <name val="Calibri"/>
      <family val="2"/>
      <scheme val="minor"/>
    </font>
    <font>
      <b/>
      <sz val="28"/>
      <color theme="1"/>
      <name val="Calibri"/>
      <family val="2"/>
      <scheme val="minor"/>
    </font>
  </fonts>
  <fills count="13">
    <fill>
      <patternFill patternType="none"/>
    </fill>
    <fill>
      <patternFill patternType="gray125"/>
    </fill>
    <fill>
      <patternFill patternType="solid">
        <fgColor rgb="FFF2F2F2"/>
      </patternFill>
    </fill>
    <fill>
      <patternFill patternType="solid">
        <fgColor theme="4"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C9FF"/>
        <bgColor indexed="64"/>
      </patternFill>
    </fill>
    <fill>
      <patternFill patternType="solid">
        <fgColor theme="7" tint="0.79998168889431442"/>
        <bgColor indexed="65"/>
      </patternFill>
    </fill>
    <fill>
      <patternFill patternType="solid">
        <fgColor theme="7" tint="0.59999389629810485"/>
        <bgColor indexed="64"/>
      </patternFill>
    </fill>
    <fill>
      <patternFill patternType="solid">
        <fgColor rgb="FFF2F2F2"/>
        <bgColor indexed="64"/>
      </patternFill>
    </fill>
    <fill>
      <patternFill patternType="solid">
        <fgColor theme="0"/>
        <bgColor indexed="64"/>
      </patternFill>
    </fill>
    <fill>
      <patternFill patternType="solid">
        <fgColor theme="4" tint="0.59999389629810485"/>
        <bgColor indexed="64"/>
      </patternFill>
    </fill>
  </fills>
  <borders count="45">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diagonal/>
    </border>
    <border>
      <left style="thin">
        <color indexed="64"/>
      </left>
      <right style="medium">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medium">
        <color indexed="64"/>
      </left>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diagonal/>
    </border>
    <border>
      <left/>
      <right style="thin">
        <color indexed="64"/>
      </right>
      <top/>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thin">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theme="1" tint="0.499984740745262"/>
      </right>
      <top style="medium">
        <color indexed="64"/>
      </top>
      <bottom style="thin">
        <color theme="1" tint="0.499984740745262"/>
      </bottom>
      <diagonal/>
    </border>
    <border>
      <left style="thin">
        <color theme="1" tint="0.499984740745262"/>
      </left>
      <right style="thin">
        <color theme="1" tint="0.499984740745262"/>
      </right>
      <top style="medium">
        <color indexed="64"/>
      </top>
      <bottom style="thin">
        <color theme="1" tint="0.499984740745262"/>
      </bottom>
      <diagonal/>
    </border>
    <border>
      <left style="thin">
        <color theme="1" tint="0.499984740745262"/>
      </left>
      <right style="medium">
        <color indexed="64"/>
      </right>
      <top style="medium">
        <color indexed="64"/>
      </top>
      <bottom style="thin">
        <color theme="1" tint="0.499984740745262"/>
      </bottom>
      <diagonal/>
    </border>
    <border>
      <left style="medium">
        <color indexed="64"/>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medium">
        <color indexed="64"/>
      </right>
      <top style="thin">
        <color theme="1" tint="0.499984740745262"/>
      </top>
      <bottom style="thin">
        <color theme="1" tint="0.499984740745262"/>
      </bottom>
      <diagonal/>
    </border>
    <border>
      <left style="medium">
        <color indexed="64"/>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medium">
        <color indexed="64"/>
      </right>
      <top style="thin">
        <color theme="1" tint="0.499984740745262"/>
      </top>
      <bottom style="medium">
        <color indexed="64"/>
      </bottom>
      <diagonal/>
    </border>
    <border>
      <left style="medium">
        <color indexed="64"/>
      </left>
      <right style="thin">
        <color theme="1" tint="0.499984740745262"/>
      </right>
      <top/>
      <bottom style="thin">
        <color theme="1" tint="0.499984740745262"/>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style="medium">
        <color indexed="64"/>
      </right>
      <top/>
      <bottom style="thin">
        <color theme="1" tint="0.499984740745262"/>
      </bottom>
      <diagonal/>
    </border>
  </borders>
  <cellStyleXfs count="3">
    <xf numFmtId="0" fontId="0" fillId="0" borderId="0"/>
    <xf numFmtId="0" fontId="1" fillId="2" borderId="1" applyNumberFormat="0" applyAlignment="0" applyProtection="0"/>
    <xf numFmtId="0" fontId="6" fillId="8" borderId="0" applyNumberFormat="0" applyBorder="0" applyAlignment="0" applyProtection="0"/>
  </cellStyleXfs>
  <cellXfs count="229">
    <xf numFmtId="0" fontId="0" fillId="0" borderId="0" xfId="0"/>
    <xf numFmtId="0" fontId="0" fillId="0" borderId="0" xfId="0" applyFill="1" applyBorder="1" applyProtection="1"/>
    <xf numFmtId="0" fontId="0" fillId="0" borderId="0" xfId="0" applyFill="1" applyProtection="1"/>
    <xf numFmtId="0" fontId="0" fillId="0" borderId="0" xfId="0" applyProtection="1"/>
    <xf numFmtId="0" fontId="4" fillId="0" borderId="0" xfId="0" applyFont="1" applyProtection="1"/>
    <xf numFmtId="0" fontId="0" fillId="0" borderId="0" xfId="0" applyBorder="1" applyProtection="1"/>
    <xf numFmtId="0" fontId="0" fillId="0" borderId="0" xfId="0" applyAlignment="1" applyProtection="1">
      <alignment wrapText="1"/>
    </xf>
    <xf numFmtId="0" fontId="4" fillId="0" borderId="0" xfId="0" applyFont="1" applyAlignment="1" applyProtection="1">
      <alignment wrapText="1"/>
    </xf>
    <xf numFmtId="0" fontId="4" fillId="0" borderId="0" xfId="0" applyFont="1" applyBorder="1" applyProtection="1"/>
    <xf numFmtId="0" fontId="4" fillId="0" borderId="0" xfId="0" applyFont="1" applyFill="1" applyProtection="1"/>
    <xf numFmtId="0" fontId="4" fillId="0" borderId="0" xfId="0" applyFont="1" applyFill="1" applyBorder="1" applyProtection="1"/>
    <xf numFmtId="2" fontId="5" fillId="0" borderId="0" xfId="1" applyNumberFormat="1" applyFont="1" applyFill="1" applyBorder="1" applyProtection="1"/>
    <xf numFmtId="0" fontId="0" fillId="0" borderId="27" xfId="0" applyFill="1" applyBorder="1" applyProtection="1"/>
    <xf numFmtId="0" fontId="5" fillId="0" borderId="0" xfId="1" applyFont="1" applyFill="1" applyBorder="1" applyProtection="1"/>
    <xf numFmtId="0" fontId="4" fillId="0" borderId="0" xfId="0" applyNumberFormat="1" applyFont="1" applyFill="1" applyBorder="1" applyProtection="1"/>
    <xf numFmtId="0" fontId="4" fillId="0" borderId="0" xfId="0" applyNumberFormat="1" applyFont="1" applyFill="1" applyBorder="1" applyAlignment="1" applyProtection="1">
      <alignment horizontal="left"/>
    </xf>
    <xf numFmtId="0" fontId="4" fillId="0" borderId="0" xfId="0" applyFont="1" applyFill="1" applyBorder="1" applyAlignment="1" applyProtection="1">
      <alignment horizontal="center"/>
    </xf>
    <xf numFmtId="0" fontId="4" fillId="0" borderId="0" xfId="0" applyFont="1" applyFill="1" applyBorder="1" applyAlignment="1" applyProtection="1">
      <alignment horizontal="left"/>
    </xf>
    <xf numFmtId="0" fontId="9" fillId="0" borderId="0" xfId="0" applyFont="1" applyAlignment="1" applyProtection="1">
      <alignment horizontal="center" vertical="center"/>
    </xf>
    <xf numFmtId="0" fontId="3" fillId="0" borderId="0" xfId="0" applyFont="1" applyAlignment="1" applyProtection="1">
      <alignment horizontal="center" vertical="center"/>
    </xf>
    <xf numFmtId="0" fontId="7" fillId="3" borderId="4" xfId="0" applyFont="1" applyFill="1" applyBorder="1" applyAlignment="1" applyProtection="1">
      <alignment vertical="center"/>
    </xf>
    <xf numFmtId="0" fontId="7" fillId="3" borderId="18" xfId="0" applyFont="1" applyFill="1" applyBorder="1" applyAlignment="1" applyProtection="1">
      <alignment vertical="center"/>
    </xf>
    <xf numFmtId="0" fontId="7" fillId="3" borderId="29" xfId="0" applyFont="1" applyFill="1" applyBorder="1" applyAlignment="1" applyProtection="1">
      <alignment vertical="center"/>
    </xf>
    <xf numFmtId="14" fontId="0" fillId="0" borderId="0" xfId="0" applyNumberFormat="1" applyAlignment="1" applyProtection="1">
      <alignment wrapText="1"/>
    </xf>
    <xf numFmtId="14" fontId="4" fillId="0" borderId="0" xfId="0" applyNumberFormat="1" applyFont="1" applyAlignment="1" applyProtection="1">
      <alignment wrapText="1"/>
    </xf>
    <xf numFmtId="0" fontId="10" fillId="0" borderId="25" xfId="0" applyFont="1" applyFill="1" applyBorder="1" applyAlignment="1" applyProtection="1">
      <alignment vertical="center"/>
    </xf>
    <xf numFmtId="0" fontId="0" fillId="0" borderId="25" xfId="0" applyFill="1" applyBorder="1" applyProtection="1"/>
    <xf numFmtId="0" fontId="8" fillId="0" borderId="0" xfId="0" applyFont="1" applyProtection="1"/>
    <xf numFmtId="0" fontId="0" fillId="0" borderId="0" xfId="0" applyAlignment="1" applyProtection="1"/>
    <xf numFmtId="0" fontId="14" fillId="0" borderId="0" xfId="0" applyFont="1" applyAlignment="1" applyProtection="1"/>
    <xf numFmtId="0" fontId="13" fillId="0" borderId="0" xfId="0" applyFont="1" applyAlignment="1" applyProtection="1">
      <alignment horizontal="center" vertical="center"/>
    </xf>
    <xf numFmtId="0" fontId="11" fillId="0" borderId="0" xfId="0" applyFont="1" applyFill="1" applyBorder="1" applyAlignment="1" applyProtection="1">
      <alignment vertical="center"/>
    </xf>
    <xf numFmtId="0" fontId="3" fillId="0" borderId="0" xfId="0" applyFont="1" applyFill="1" applyBorder="1" applyAlignment="1" applyProtection="1">
      <alignment horizontal="center" vertical="center" wrapText="1"/>
    </xf>
    <xf numFmtId="0" fontId="5" fillId="0" borderId="0" xfId="1" applyFont="1" applyFill="1" applyBorder="1" applyAlignment="1" applyProtection="1">
      <alignment horizontal="center" vertical="center"/>
    </xf>
    <xf numFmtId="0" fontId="3" fillId="0" borderId="0" xfId="0" applyFont="1" applyFill="1" applyBorder="1" applyAlignment="1" applyProtection="1">
      <alignment horizontal="center" vertical="center"/>
    </xf>
    <xf numFmtId="2" fontId="5" fillId="0" borderId="0" xfId="1" applyNumberFormat="1" applyFont="1" applyFill="1" applyBorder="1" applyAlignment="1" applyProtection="1">
      <alignment horizontal="center" vertical="center"/>
    </xf>
    <xf numFmtId="0" fontId="9" fillId="0" borderId="0" xfId="0" applyFont="1" applyFill="1" applyAlignment="1" applyProtection="1">
      <alignment horizontal="center" vertical="center"/>
    </xf>
    <xf numFmtId="0" fontId="4" fillId="0" borderId="0" xfId="0" applyFont="1" applyFill="1" applyBorder="1" applyAlignment="1" applyProtection="1">
      <alignment horizontal="center" vertical="center"/>
      <protection locked="0"/>
    </xf>
    <xf numFmtId="0" fontId="4" fillId="0" borderId="0" xfId="0" applyNumberFormat="1" applyFont="1" applyFill="1" applyBorder="1" applyAlignment="1" applyProtection="1">
      <alignment horizontal="center"/>
    </xf>
    <xf numFmtId="0" fontId="4" fillId="0" borderId="25" xfId="0" applyNumberFormat="1" applyFont="1" applyFill="1" applyBorder="1" applyAlignment="1" applyProtection="1">
      <alignment horizontal="center"/>
    </xf>
    <xf numFmtId="0" fontId="4" fillId="0" borderId="25" xfId="0" applyNumberFormat="1" applyFont="1" applyFill="1" applyBorder="1" applyProtection="1"/>
    <xf numFmtId="0" fontId="4" fillId="0" borderId="25" xfId="0" applyFont="1" applyFill="1" applyBorder="1" applyProtection="1"/>
    <xf numFmtId="0" fontId="17" fillId="0" borderId="0" xfId="0" applyFont="1"/>
    <xf numFmtId="0" fontId="0" fillId="11" borderId="0" xfId="0" applyFill="1" applyProtection="1"/>
    <xf numFmtId="0" fontId="4" fillId="11" borderId="0" xfId="0" applyFont="1" applyFill="1" applyProtection="1"/>
    <xf numFmtId="0" fontId="4" fillId="0" borderId="14" xfId="0" applyFont="1" applyFill="1" applyBorder="1" applyAlignment="1" applyProtection="1">
      <alignment horizontal="center" vertical="center"/>
      <protection locked="0"/>
    </xf>
    <xf numFmtId="0" fontId="18" fillId="0" borderId="0" xfId="0" applyFont="1" applyAlignment="1" applyProtection="1"/>
    <xf numFmtId="0" fontId="7" fillId="3" borderId="11" xfId="0" applyFont="1" applyFill="1" applyBorder="1" applyAlignment="1" applyProtection="1">
      <alignment horizontal="center" vertical="center"/>
    </xf>
    <xf numFmtId="0" fontId="7" fillId="3" borderId="3" xfId="0" applyFont="1" applyFill="1" applyBorder="1" applyAlignment="1" applyProtection="1">
      <alignment horizontal="center" vertical="center"/>
    </xf>
    <xf numFmtId="0" fontId="14" fillId="8" borderId="2" xfId="2" applyFont="1" applyBorder="1" applyAlignment="1" applyProtection="1">
      <alignment horizontal="center" vertical="center"/>
      <protection locked="0"/>
    </xf>
    <xf numFmtId="0" fontId="14" fillId="8" borderId="7" xfId="2" applyFont="1" applyBorder="1" applyAlignment="1" applyProtection="1">
      <alignment horizontal="center" vertical="center"/>
      <protection locked="0"/>
    </xf>
    <xf numFmtId="0" fontId="14" fillId="4" borderId="2" xfId="2" applyFont="1" applyFill="1" applyBorder="1" applyAlignment="1" applyProtection="1">
      <alignment horizontal="center" vertical="center"/>
      <protection locked="0"/>
    </xf>
    <xf numFmtId="0" fontId="7" fillId="3" borderId="18" xfId="0" applyFont="1" applyFill="1" applyBorder="1" applyAlignment="1" applyProtection="1">
      <alignment horizontal="center" vertical="center" wrapText="1"/>
    </xf>
    <xf numFmtId="3" fontId="14" fillId="3" borderId="2" xfId="0" applyNumberFormat="1" applyFont="1" applyFill="1" applyBorder="1" applyAlignment="1" applyProtection="1">
      <alignment horizontal="center" vertical="center"/>
    </xf>
    <xf numFmtId="0" fontId="10" fillId="0" borderId="0" xfId="0" applyFont="1" applyFill="1" applyBorder="1" applyAlignment="1" applyProtection="1">
      <alignment horizontal="center" vertical="center"/>
    </xf>
    <xf numFmtId="165" fontId="14" fillId="4" borderId="2" xfId="0" applyNumberFormat="1" applyFont="1" applyFill="1" applyBorder="1" applyAlignment="1" applyProtection="1">
      <alignment horizontal="center" vertical="center"/>
      <protection locked="0"/>
    </xf>
    <xf numFmtId="165" fontId="14" fillId="4" borderId="7" xfId="0" applyNumberFormat="1" applyFont="1" applyFill="1" applyBorder="1" applyAlignment="1" applyProtection="1">
      <alignment horizontal="center" vertical="center"/>
      <protection locked="0"/>
    </xf>
    <xf numFmtId="37" fontId="14" fillId="4" borderId="2" xfId="0" applyNumberFormat="1" applyFont="1" applyFill="1" applyBorder="1" applyAlignment="1" applyProtection="1">
      <alignment horizontal="center" vertical="center"/>
      <protection locked="0"/>
    </xf>
    <xf numFmtId="37" fontId="14" fillId="4" borderId="7" xfId="0" applyNumberFormat="1" applyFont="1" applyFill="1" applyBorder="1" applyAlignment="1" applyProtection="1">
      <alignment horizontal="center" vertical="center"/>
      <protection locked="0"/>
    </xf>
    <xf numFmtId="37" fontId="14" fillId="4" borderId="23" xfId="0" applyNumberFormat="1" applyFont="1" applyFill="1" applyBorder="1" applyAlignment="1" applyProtection="1">
      <alignment horizontal="center" vertical="center"/>
      <protection locked="0"/>
    </xf>
    <xf numFmtId="37" fontId="14" fillId="4" borderId="24" xfId="0" applyNumberFormat="1" applyFont="1" applyFill="1" applyBorder="1" applyAlignment="1" applyProtection="1">
      <alignment horizontal="center" vertical="center"/>
      <protection locked="0"/>
    </xf>
    <xf numFmtId="37" fontId="14" fillId="4" borderId="12" xfId="0" applyNumberFormat="1" applyFont="1" applyFill="1" applyBorder="1" applyAlignment="1" applyProtection="1">
      <alignment horizontal="center" vertical="center"/>
      <protection locked="0"/>
    </xf>
    <xf numFmtId="37" fontId="14" fillId="4" borderId="13" xfId="0" applyNumberFormat="1" applyFont="1" applyFill="1" applyBorder="1" applyAlignment="1" applyProtection="1">
      <alignment horizontal="center" vertical="center"/>
      <protection locked="0"/>
    </xf>
    <xf numFmtId="0" fontId="7" fillId="6" borderId="34" xfId="0" applyFont="1" applyFill="1" applyBorder="1" applyAlignment="1" applyProtection="1">
      <alignment horizontal="center" vertical="center" wrapText="1"/>
    </xf>
    <xf numFmtId="0" fontId="7" fillId="6" borderId="34" xfId="0" applyFont="1" applyFill="1" applyBorder="1" applyAlignment="1" applyProtection="1">
      <alignment horizontal="center" vertical="center"/>
    </xf>
    <xf numFmtId="0" fontId="7" fillId="6" borderId="35" xfId="0" applyFont="1" applyFill="1" applyBorder="1" applyAlignment="1" applyProtection="1">
      <alignment horizontal="center" vertical="center"/>
    </xf>
    <xf numFmtId="164" fontId="15" fillId="2" borderId="37" xfId="1" applyNumberFormat="1" applyFont="1" applyBorder="1" applyAlignment="1" applyProtection="1">
      <alignment horizontal="center" vertical="center"/>
    </xf>
    <xf numFmtId="164" fontId="15" fillId="2" borderId="38" xfId="1" applyNumberFormat="1" applyFont="1" applyBorder="1" applyAlignment="1" applyProtection="1">
      <alignment horizontal="center" vertical="center"/>
    </xf>
    <xf numFmtId="0" fontId="14" fillId="5" borderId="37" xfId="0" applyNumberFormat="1" applyFont="1" applyFill="1" applyBorder="1" applyAlignment="1" applyProtection="1">
      <alignment horizontal="center" vertical="center"/>
    </xf>
    <xf numFmtId="164" fontId="15" fillId="2" borderId="40" xfId="1" applyNumberFormat="1" applyFont="1" applyBorder="1" applyAlignment="1" applyProtection="1">
      <alignment horizontal="center" vertical="center"/>
    </xf>
    <xf numFmtId="164" fontId="15" fillId="2" borderId="41" xfId="1" applyNumberFormat="1" applyFont="1" applyBorder="1" applyAlignment="1" applyProtection="1">
      <alignment horizontal="center" vertical="center"/>
    </xf>
    <xf numFmtId="0" fontId="7" fillId="4" borderId="34" xfId="0" applyFont="1" applyFill="1" applyBorder="1" applyAlignment="1" applyProtection="1">
      <alignment horizontal="center" vertical="center" wrapText="1"/>
    </xf>
    <xf numFmtId="0" fontId="7" fillId="4" borderId="34" xfId="0" applyFont="1" applyFill="1" applyBorder="1" applyAlignment="1" applyProtection="1">
      <alignment horizontal="center" vertical="center"/>
    </xf>
    <xf numFmtId="0" fontId="7" fillId="4" borderId="35" xfId="0" applyFont="1" applyFill="1" applyBorder="1" applyAlignment="1" applyProtection="1">
      <alignment horizontal="center" vertical="center"/>
    </xf>
    <xf numFmtId="0" fontId="15" fillId="2" borderId="37" xfId="1" applyNumberFormat="1" applyFont="1" applyBorder="1" applyAlignment="1" applyProtection="1">
      <alignment horizontal="center" vertical="center"/>
    </xf>
    <xf numFmtId="0" fontId="15" fillId="2" borderId="38" xfId="1" applyNumberFormat="1" applyFont="1" applyBorder="1" applyAlignment="1" applyProtection="1">
      <alignment horizontal="center" vertical="center"/>
    </xf>
    <xf numFmtId="0" fontId="14" fillId="4" borderId="37" xfId="0" applyNumberFormat="1" applyFont="1" applyFill="1" applyBorder="1" applyAlignment="1" applyProtection="1">
      <alignment horizontal="center" vertical="center"/>
    </xf>
    <xf numFmtId="0" fontId="15" fillId="2" borderId="40" xfId="1" applyNumberFormat="1" applyFont="1" applyBorder="1" applyAlignment="1" applyProtection="1">
      <alignment horizontal="center" vertical="center"/>
    </xf>
    <xf numFmtId="0" fontId="15" fillId="2" borderId="41" xfId="1" applyNumberFormat="1" applyFont="1" applyBorder="1" applyAlignment="1" applyProtection="1">
      <alignment horizontal="center" vertical="center"/>
    </xf>
    <xf numFmtId="0" fontId="7" fillId="9" borderId="34" xfId="0" applyFont="1" applyFill="1" applyBorder="1" applyAlignment="1" applyProtection="1">
      <alignment horizontal="center" vertical="center"/>
    </xf>
    <xf numFmtId="0" fontId="7" fillId="9" borderId="35" xfId="0" applyFont="1" applyFill="1" applyBorder="1" applyAlignment="1" applyProtection="1">
      <alignment horizontal="center" vertical="center"/>
    </xf>
    <xf numFmtId="164" fontId="15" fillId="10" borderId="37" xfId="1" applyNumberFormat="1" applyFont="1" applyFill="1" applyBorder="1" applyAlignment="1" applyProtection="1">
      <alignment horizontal="center" vertical="center"/>
    </xf>
    <xf numFmtId="3" fontId="15" fillId="2" borderId="38" xfId="1" applyNumberFormat="1" applyFont="1" applyBorder="1" applyAlignment="1" applyProtection="1">
      <alignment horizontal="center" vertical="center"/>
    </xf>
    <xf numFmtId="0" fontId="14" fillId="12" borderId="37" xfId="0" applyFont="1" applyFill="1" applyBorder="1" applyAlignment="1" applyProtection="1">
      <alignment horizontal="center" vertical="center"/>
    </xf>
    <xf numFmtId="3" fontId="15" fillId="2" borderId="41" xfId="1" applyNumberFormat="1" applyFont="1" applyBorder="1" applyAlignment="1" applyProtection="1">
      <alignment horizontal="center" vertical="center"/>
    </xf>
    <xf numFmtId="0" fontId="12" fillId="12" borderId="44" xfId="0" applyFont="1" applyFill="1" applyBorder="1" applyAlignment="1" applyProtection="1">
      <alignment horizontal="center" vertical="center" wrapText="1"/>
    </xf>
    <xf numFmtId="0" fontId="14" fillId="7" borderId="37" xfId="0" applyFont="1" applyFill="1" applyBorder="1" applyAlignment="1" applyProtection="1">
      <alignment horizontal="center" vertical="center"/>
    </xf>
    <xf numFmtId="0" fontId="12" fillId="7" borderId="44" xfId="0" applyFont="1" applyFill="1" applyBorder="1" applyAlignment="1" applyProtection="1">
      <alignment horizontal="center" vertical="center" wrapText="1"/>
    </xf>
    <xf numFmtId="0" fontId="3" fillId="4" borderId="34" xfId="0" applyFont="1" applyFill="1" applyBorder="1" applyAlignment="1" applyProtection="1">
      <alignment horizontal="center" vertical="center" wrapText="1"/>
    </xf>
    <xf numFmtId="0" fontId="3" fillId="4" borderId="35" xfId="0" applyFont="1" applyFill="1" applyBorder="1" applyAlignment="1" applyProtection="1">
      <alignment horizontal="center" vertical="center" wrapText="1"/>
    </xf>
    <xf numFmtId="3" fontId="5" fillId="2" borderId="37" xfId="1" applyNumberFormat="1" applyFont="1" applyBorder="1" applyAlignment="1" applyProtection="1">
      <alignment horizontal="center" vertical="center"/>
    </xf>
    <xf numFmtId="3" fontId="5" fillId="2" borderId="38" xfId="1" applyNumberFormat="1" applyFont="1" applyBorder="1" applyAlignment="1" applyProtection="1">
      <alignment horizontal="center" vertical="center"/>
    </xf>
    <xf numFmtId="0" fontId="4" fillId="4" borderId="37" xfId="0" applyNumberFormat="1" applyFont="1" applyFill="1" applyBorder="1" applyAlignment="1" applyProtection="1">
      <alignment horizontal="center" vertical="center"/>
    </xf>
    <xf numFmtId="3" fontId="5" fillId="2" borderId="40" xfId="1" applyNumberFormat="1" applyFont="1" applyBorder="1" applyAlignment="1" applyProtection="1">
      <alignment horizontal="center" vertical="center"/>
    </xf>
    <xf numFmtId="3" fontId="5" fillId="2" borderId="41" xfId="1" applyNumberFormat="1" applyFont="1" applyBorder="1" applyAlignment="1" applyProtection="1">
      <alignment horizontal="center" vertical="center"/>
    </xf>
    <xf numFmtId="0" fontId="12" fillId="7" borderId="35" xfId="0" applyFont="1" applyFill="1" applyBorder="1" applyAlignment="1" applyProtection="1">
      <alignment horizontal="center" vertical="center" wrapText="1"/>
    </xf>
    <xf numFmtId="0" fontId="12" fillId="12" borderId="35" xfId="0" applyFont="1" applyFill="1" applyBorder="1" applyAlignment="1" applyProtection="1">
      <alignment horizontal="center" vertical="center" wrapText="1"/>
    </xf>
    <xf numFmtId="0" fontId="3" fillId="6" borderId="34" xfId="0" applyFont="1" applyFill="1" applyBorder="1" applyAlignment="1" applyProtection="1">
      <alignment horizontal="center" vertical="center" wrapText="1"/>
    </xf>
    <xf numFmtId="0" fontId="3" fillId="6" borderId="34" xfId="0" applyFont="1" applyFill="1" applyBorder="1" applyAlignment="1" applyProtection="1">
      <alignment horizontal="center" vertical="center"/>
    </xf>
    <xf numFmtId="0" fontId="3" fillId="6" borderId="35" xfId="0" applyFont="1" applyFill="1" applyBorder="1" applyAlignment="1" applyProtection="1">
      <alignment horizontal="center" vertical="center"/>
    </xf>
    <xf numFmtId="164" fontId="5" fillId="2" borderId="37" xfId="1" applyNumberFormat="1" applyFont="1" applyBorder="1" applyAlignment="1" applyProtection="1">
      <alignment horizontal="center" vertical="center"/>
    </xf>
    <xf numFmtId="164" fontId="5" fillId="2" borderId="38" xfId="1" applyNumberFormat="1" applyFont="1" applyBorder="1" applyAlignment="1" applyProtection="1">
      <alignment horizontal="center" vertical="center"/>
    </xf>
    <xf numFmtId="0" fontId="4" fillId="5" borderId="37" xfId="0" applyNumberFormat="1" applyFont="1" applyFill="1" applyBorder="1" applyAlignment="1" applyProtection="1">
      <alignment horizontal="center" vertical="center"/>
    </xf>
    <xf numFmtId="164" fontId="5" fillId="2" borderId="40" xfId="1" applyNumberFormat="1" applyFont="1" applyBorder="1" applyAlignment="1" applyProtection="1">
      <alignment horizontal="center" vertical="center"/>
    </xf>
    <xf numFmtId="164" fontId="5" fillId="2" borderId="41" xfId="1" applyNumberFormat="1" applyFont="1" applyBorder="1" applyAlignment="1" applyProtection="1">
      <alignment horizontal="center" vertical="center"/>
    </xf>
    <xf numFmtId="0" fontId="3" fillId="5" borderId="34" xfId="0" applyFont="1" applyFill="1" applyBorder="1" applyAlignment="1" applyProtection="1">
      <alignment horizontal="center" vertical="center" wrapText="1"/>
    </xf>
    <xf numFmtId="0" fontId="3" fillId="5" borderId="35" xfId="0" applyFont="1" applyFill="1" applyBorder="1" applyAlignment="1" applyProtection="1">
      <alignment horizontal="center" vertical="center" wrapText="1"/>
    </xf>
    <xf numFmtId="0" fontId="14" fillId="5" borderId="36" xfId="0" applyNumberFormat="1" applyFont="1" applyFill="1" applyBorder="1" applyAlignment="1" applyProtection="1">
      <alignment horizontal="center" vertical="center" wrapText="1"/>
    </xf>
    <xf numFmtId="0" fontId="14" fillId="5" borderId="36" xfId="0" applyNumberFormat="1" applyFont="1" applyFill="1" applyBorder="1" applyAlignment="1" applyProtection="1">
      <alignment horizontal="center" vertical="center"/>
    </xf>
    <xf numFmtId="0" fontId="14" fillId="4" borderId="36" xfId="0" applyNumberFormat="1" applyFont="1" applyFill="1" applyBorder="1" applyAlignment="1" applyProtection="1">
      <alignment horizontal="center" vertical="center" wrapText="1"/>
    </xf>
    <xf numFmtId="0" fontId="14" fillId="4" borderId="36" xfId="0" applyNumberFormat="1" applyFont="1" applyFill="1" applyBorder="1" applyAlignment="1" applyProtection="1">
      <alignment horizontal="center" vertical="center"/>
    </xf>
    <xf numFmtId="3" fontId="14" fillId="4" borderId="22" xfId="0" applyNumberFormat="1" applyFont="1" applyFill="1" applyBorder="1" applyAlignment="1" applyProtection="1">
      <alignment horizontal="center" vertical="center"/>
      <protection locked="0"/>
    </xf>
    <xf numFmtId="3" fontId="14" fillId="4" borderId="19" xfId="0" applyNumberFormat="1" applyFont="1" applyFill="1" applyBorder="1" applyAlignment="1" applyProtection="1">
      <alignment horizontal="center" vertical="center"/>
      <protection locked="0"/>
    </xf>
    <xf numFmtId="3" fontId="14" fillId="3" borderId="16" xfId="0" applyNumberFormat="1" applyFont="1" applyFill="1" applyBorder="1" applyAlignment="1" applyProtection="1">
      <alignment horizontal="center" vertical="center"/>
    </xf>
    <xf numFmtId="3" fontId="14" fillId="3" borderId="17" xfId="0" applyNumberFormat="1" applyFont="1" applyFill="1" applyBorder="1" applyAlignment="1" applyProtection="1">
      <alignment horizontal="center" vertical="center"/>
    </xf>
    <xf numFmtId="3" fontId="14" fillId="4" borderId="5" xfId="0" applyNumberFormat="1" applyFont="1" applyFill="1" applyBorder="1" applyAlignment="1" applyProtection="1">
      <alignment horizontal="center" vertical="center"/>
      <protection locked="0"/>
    </xf>
    <xf numFmtId="3" fontId="14" fillId="4" borderId="12" xfId="0" applyNumberFormat="1" applyFont="1" applyFill="1" applyBorder="1" applyAlignment="1" applyProtection="1">
      <alignment horizontal="center" vertical="center"/>
      <protection locked="0"/>
    </xf>
    <xf numFmtId="0" fontId="18" fillId="0" borderId="0" xfId="0" applyFont="1" applyAlignment="1" applyProtection="1">
      <alignment horizontal="left" vertical="center" wrapText="1"/>
    </xf>
    <xf numFmtId="0" fontId="7" fillId="4" borderId="33" xfId="0" applyFont="1" applyFill="1" applyBorder="1" applyAlignment="1" applyProtection="1">
      <alignment horizontal="center" vertical="center" wrapText="1"/>
    </xf>
    <xf numFmtId="0" fontId="7" fillId="4" borderId="34" xfId="0" applyFont="1" applyFill="1" applyBorder="1" applyAlignment="1" applyProtection="1">
      <alignment horizontal="center" vertical="center" wrapText="1"/>
    </xf>
    <xf numFmtId="0" fontId="14" fillId="4" borderId="37" xfId="0" applyNumberFormat="1" applyFont="1" applyFill="1" applyBorder="1" applyAlignment="1" applyProtection="1">
      <alignment horizontal="center" vertical="center"/>
    </xf>
    <xf numFmtId="0" fontId="21" fillId="9" borderId="6" xfId="0" applyFont="1" applyFill="1" applyBorder="1" applyAlignment="1" applyProtection="1">
      <alignment horizontal="center" vertical="center"/>
    </xf>
    <xf numFmtId="0" fontId="21" fillId="9" borderId="14" xfId="0" applyFont="1" applyFill="1" applyBorder="1" applyAlignment="1" applyProtection="1">
      <alignment horizontal="center" vertical="center"/>
    </xf>
    <xf numFmtId="0" fontId="21" fillId="9" borderId="15" xfId="0" applyFont="1" applyFill="1" applyBorder="1" applyAlignment="1" applyProtection="1">
      <alignment horizontal="center" vertical="center"/>
    </xf>
    <xf numFmtId="0" fontId="21" fillId="9" borderId="31" xfId="0" applyFont="1" applyFill="1" applyBorder="1" applyAlignment="1" applyProtection="1">
      <alignment horizontal="center" vertical="center"/>
    </xf>
    <xf numFmtId="0" fontId="21" fillId="9" borderId="25" xfId="0" applyFont="1" applyFill="1" applyBorder="1" applyAlignment="1" applyProtection="1">
      <alignment horizontal="center" vertical="center"/>
    </xf>
    <xf numFmtId="0" fontId="21" fillId="9" borderId="32" xfId="0" applyFont="1" applyFill="1" applyBorder="1" applyAlignment="1" applyProtection="1">
      <alignment horizontal="center" vertical="center"/>
    </xf>
    <xf numFmtId="0" fontId="18" fillId="0" borderId="0" xfId="0" applyFont="1" applyAlignment="1" applyProtection="1">
      <alignment horizontal="left" vertical="center"/>
    </xf>
    <xf numFmtId="0" fontId="7" fillId="3" borderId="22" xfId="0" applyFont="1" applyFill="1" applyBorder="1" applyAlignment="1" applyProtection="1">
      <alignment horizontal="center" vertical="center" wrapText="1"/>
    </xf>
    <xf numFmtId="0" fontId="7" fillId="3" borderId="19" xfId="0" applyFont="1" applyFill="1" applyBorder="1" applyAlignment="1" applyProtection="1">
      <alignment horizontal="center" vertical="center" wrapText="1"/>
    </xf>
    <xf numFmtId="3" fontId="14" fillId="3" borderId="22" xfId="0" applyNumberFormat="1" applyFont="1" applyFill="1" applyBorder="1" applyAlignment="1" applyProtection="1">
      <alignment horizontal="center" vertical="center"/>
    </xf>
    <xf numFmtId="3" fontId="14" fillId="3" borderId="19" xfId="0" applyNumberFormat="1" applyFont="1" applyFill="1" applyBorder="1" applyAlignment="1" applyProtection="1">
      <alignment horizontal="center" vertical="center"/>
    </xf>
    <xf numFmtId="0" fontId="21" fillId="3" borderId="26" xfId="0" applyFont="1" applyFill="1" applyBorder="1" applyAlignment="1" applyProtection="1">
      <alignment horizontal="center" vertical="center"/>
    </xf>
    <xf numFmtId="0" fontId="21" fillId="3" borderId="27" xfId="0" applyFont="1" applyFill="1" applyBorder="1" applyAlignment="1" applyProtection="1">
      <alignment horizontal="center" vertical="center"/>
    </xf>
    <xf numFmtId="0" fontId="21" fillId="3" borderId="30" xfId="0" applyFont="1" applyFill="1" applyBorder="1" applyAlignment="1" applyProtection="1">
      <alignment horizontal="center" vertical="center"/>
    </xf>
    <xf numFmtId="0" fontId="7" fillId="9" borderId="33" xfId="0" applyFont="1" applyFill="1" applyBorder="1" applyAlignment="1" applyProtection="1">
      <alignment horizontal="center" vertical="center" wrapText="1"/>
    </xf>
    <xf numFmtId="0" fontId="7" fillId="9" borderId="34" xfId="0" applyFont="1" applyFill="1" applyBorder="1" applyAlignment="1" applyProtection="1">
      <alignment horizontal="center" vertical="center" wrapText="1"/>
    </xf>
    <xf numFmtId="0" fontId="7" fillId="3" borderId="4" xfId="0" applyFont="1" applyFill="1" applyBorder="1" applyAlignment="1" applyProtection="1">
      <alignment horizontal="left" vertical="center" wrapText="1"/>
    </xf>
    <xf numFmtId="0" fontId="7" fillId="3" borderId="18" xfId="0" applyFont="1" applyFill="1" applyBorder="1" applyAlignment="1" applyProtection="1">
      <alignment horizontal="left" vertical="center" wrapText="1"/>
    </xf>
    <xf numFmtId="0" fontId="7" fillId="3" borderId="29" xfId="0" applyFont="1" applyFill="1" applyBorder="1" applyAlignment="1" applyProtection="1">
      <alignment horizontal="left" vertical="center" wrapText="1"/>
    </xf>
    <xf numFmtId="0" fontId="14" fillId="5" borderId="37" xfId="0" applyNumberFormat="1" applyFont="1" applyFill="1" applyBorder="1" applyAlignment="1" applyProtection="1">
      <alignment horizontal="center" vertical="center"/>
    </xf>
    <xf numFmtId="3" fontId="14" fillId="5" borderId="36" xfId="0" applyNumberFormat="1" applyFont="1" applyFill="1" applyBorder="1" applyAlignment="1" applyProtection="1">
      <alignment horizontal="center" vertical="center"/>
    </xf>
    <xf numFmtId="3" fontId="14" fillId="5" borderId="39" xfId="0" applyNumberFormat="1" applyFont="1" applyFill="1" applyBorder="1" applyAlignment="1" applyProtection="1">
      <alignment horizontal="center" vertical="center"/>
    </xf>
    <xf numFmtId="0" fontId="14" fillId="5" borderId="40" xfId="0" applyNumberFormat="1" applyFont="1" applyFill="1" applyBorder="1" applyAlignment="1" applyProtection="1">
      <alignment horizontal="center" vertical="center"/>
    </xf>
    <xf numFmtId="0" fontId="7" fillId="3" borderId="18" xfId="0" applyFont="1" applyFill="1" applyBorder="1" applyAlignment="1" applyProtection="1">
      <alignment horizontal="center" vertical="center" wrapText="1"/>
    </xf>
    <xf numFmtId="0" fontId="7" fillId="3" borderId="6" xfId="0" applyFont="1" applyFill="1" applyBorder="1" applyAlignment="1" applyProtection="1">
      <alignment horizontal="center" vertical="center"/>
    </xf>
    <xf numFmtId="0" fontId="7" fillId="3" borderId="14" xfId="0" applyFont="1" applyFill="1" applyBorder="1" applyAlignment="1" applyProtection="1">
      <alignment horizontal="center" vertical="center"/>
    </xf>
    <xf numFmtId="0" fontId="7" fillId="3" borderId="9" xfId="0" applyFont="1" applyFill="1" applyBorder="1" applyAlignment="1" applyProtection="1">
      <alignment horizontal="center" vertical="center"/>
    </xf>
    <xf numFmtId="0" fontId="7" fillId="3" borderId="20" xfId="0" applyFont="1" applyFill="1" applyBorder="1" applyAlignment="1" applyProtection="1">
      <alignment horizontal="center" vertical="center"/>
    </xf>
    <xf numFmtId="0" fontId="7" fillId="3" borderId="0" xfId="0" applyFont="1" applyFill="1" applyBorder="1" applyAlignment="1" applyProtection="1">
      <alignment horizontal="center" vertical="center"/>
    </xf>
    <xf numFmtId="0" fontId="7" fillId="3" borderId="21" xfId="0" applyFont="1" applyFill="1" applyBorder="1" applyAlignment="1" applyProtection="1">
      <alignment horizontal="center" vertical="center"/>
    </xf>
    <xf numFmtId="0" fontId="7" fillId="3" borderId="10" xfId="0" applyFont="1" applyFill="1" applyBorder="1" applyAlignment="1" applyProtection="1">
      <alignment horizontal="center" vertical="center"/>
    </xf>
    <xf numFmtId="0" fontId="7" fillId="3" borderId="28" xfId="0" applyFont="1" applyFill="1" applyBorder="1" applyAlignment="1" applyProtection="1">
      <alignment horizontal="center" vertical="center"/>
    </xf>
    <xf numFmtId="0" fontId="7" fillId="3" borderId="8" xfId="0" applyFont="1" applyFill="1" applyBorder="1" applyAlignment="1" applyProtection="1">
      <alignment horizontal="center" vertical="center"/>
    </xf>
    <xf numFmtId="0" fontId="21" fillId="6" borderId="6" xfId="0" applyFont="1" applyFill="1" applyBorder="1" applyAlignment="1" applyProtection="1">
      <alignment horizontal="center" vertical="center"/>
    </xf>
    <xf numFmtId="0" fontId="21" fillId="6" borderId="14" xfId="0" applyFont="1" applyFill="1" applyBorder="1" applyAlignment="1" applyProtection="1">
      <alignment horizontal="center" vertical="center"/>
    </xf>
    <xf numFmtId="0" fontId="21" fillId="6" borderId="15" xfId="0" applyFont="1" applyFill="1" applyBorder="1" applyAlignment="1" applyProtection="1">
      <alignment horizontal="center" vertical="center"/>
    </xf>
    <xf numFmtId="0" fontId="21" fillId="6" borderId="31" xfId="0" applyFont="1" applyFill="1" applyBorder="1" applyAlignment="1" applyProtection="1">
      <alignment horizontal="center" vertical="center"/>
    </xf>
    <xf numFmtId="0" fontId="21" fillId="6" borderId="25" xfId="0" applyFont="1" applyFill="1" applyBorder="1" applyAlignment="1" applyProtection="1">
      <alignment horizontal="center" vertical="center"/>
    </xf>
    <xf numFmtId="0" fontId="21" fillId="6" borderId="32" xfId="0" applyFont="1" applyFill="1" applyBorder="1" applyAlignment="1" applyProtection="1">
      <alignment horizontal="center" vertical="center"/>
    </xf>
    <xf numFmtId="0" fontId="21" fillId="4" borderId="6" xfId="0" applyFont="1" applyFill="1" applyBorder="1" applyAlignment="1" applyProtection="1">
      <alignment horizontal="center" vertical="center"/>
    </xf>
    <xf numFmtId="0" fontId="21" fillId="4" borderId="14" xfId="0" applyFont="1" applyFill="1" applyBorder="1" applyAlignment="1" applyProtection="1">
      <alignment horizontal="center" vertical="center"/>
    </xf>
    <xf numFmtId="0" fontId="21" fillId="4" borderId="15" xfId="0" applyFont="1" applyFill="1" applyBorder="1" applyAlignment="1" applyProtection="1">
      <alignment horizontal="center" vertical="center"/>
    </xf>
    <xf numFmtId="0" fontId="21" fillId="4" borderId="31" xfId="0" applyFont="1" applyFill="1" applyBorder="1" applyAlignment="1" applyProtection="1">
      <alignment horizontal="center" vertical="center"/>
    </xf>
    <xf numFmtId="0" fontId="21" fillId="4" borderId="25" xfId="0" applyFont="1" applyFill="1" applyBorder="1" applyAlignment="1" applyProtection="1">
      <alignment horizontal="center" vertical="center"/>
    </xf>
    <xf numFmtId="0" fontId="21" fillId="4" borderId="32" xfId="0" applyFont="1" applyFill="1" applyBorder="1" applyAlignment="1" applyProtection="1">
      <alignment horizontal="center" vertical="center"/>
    </xf>
    <xf numFmtId="0" fontId="7" fillId="6" borderId="33" xfId="0" applyFont="1" applyFill="1" applyBorder="1" applyAlignment="1" applyProtection="1">
      <alignment horizontal="center" vertical="center" wrapText="1"/>
    </xf>
    <xf numFmtId="0" fontId="7" fillId="6" borderId="34" xfId="0" applyFont="1" applyFill="1" applyBorder="1" applyAlignment="1" applyProtection="1">
      <alignment horizontal="center" vertical="center" wrapText="1"/>
    </xf>
    <xf numFmtId="3" fontId="14" fillId="12" borderId="36" xfId="0" applyNumberFormat="1" applyFont="1" applyFill="1" applyBorder="1" applyAlignment="1" applyProtection="1">
      <alignment horizontal="center" vertical="center"/>
    </xf>
    <xf numFmtId="0" fontId="14" fillId="12" borderId="37" xfId="0" applyFont="1" applyFill="1" applyBorder="1" applyAlignment="1" applyProtection="1">
      <alignment horizontal="center" vertical="center"/>
    </xf>
    <xf numFmtId="3" fontId="14" fillId="12" borderId="39" xfId="0" applyNumberFormat="1" applyFont="1" applyFill="1" applyBorder="1" applyAlignment="1" applyProtection="1">
      <alignment horizontal="center" vertical="center"/>
    </xf>
    <xf numFmtId="0" fontId="14" fillId="12" borderId="40" xfId="0" applyFont="1" applyFill="1" applyBorder="1" applyAlignment="1" applyProtection="1">
      <alignment horizontal="center" vertical="center"/>
    </xf>
    <xf numFmtId="0" fontId="14" fillId="12" borderId="36" xfId="0" applyFont="1" applyFill="1" applyBorder="1" applyAlignment="1" applyProtection="1">
      <alignment horizontal="center" vertical="center"/>
    </xf>
    <xf numFmtId="0" fontId="14" fillId="7" borderId="36" xfId="0" applyFont="1" applyFill="1" applyBorder="1" applyAlignment="1" applyProtection="1">
      <alignment horizontal="center" vertical="center"/>
    </xf>
    <xf numFmtId="0" fontId="14" fillId="7" borderId="37" xfId="0" applyFont="1" applyFill="1" applyBorder="1" applyAlignment="1" applyProtection="1">
      <alignment horizontal="center" vertical="center"/>
    </xf>
    <xf numFmtId="3" fontId="14" fillId="7" borderId="36" xfId="0" applyNumberFormat="1" applyFont="1" applyFill="1" applyBorder="1" applyAlignment="1" applyProtection="1">
      <alignment horizontal="center" vertical="center"/>
    </xf>
    <xf numFmtId="3" fontId="14" fillId="7" borderId="39" xfId="0" applyNumberFormat="1" applyFont="1" applyFill="1" applyBorder="1" applyAlignment="1" applyProtection="1">
      <alignment horizontal="center" vertical="center"/>
    </xf>
    <xf numFmtId="0" fontId="14" fillId="7" borderId="40" xfId="0" applyFont="1" applyFill="1" applyBorder="1" applyAlignment="1" applyProtection="1">
      <alignment horizontal="center" vertical="center"/>
    </xf>
    <xf numFmtId="0" fontId="21" fillId="0" borderId="33" xfId="0" applyFont="1" applyBorder="1" applyAlignment="1" applyProtection="1">
      <alignment horizontal="center" vertical="center"/>
    </xf>
    <xf numFmtId="0" fontId="21" fillId="0" borderId="34" xfId="0" applyFont="1" applyBorder="1" applyAlignment="1" applyProtection="1">
      <alignment horizontal="center" vertical="center"/>
    </xf>
    <xf numFmtId="0" fontId="21" fillId="0" borderId="35" xfId="0" applyFont="1" applyBorder="1" applyAlignment="1" applyProtection="1">
      <alignment horizontal="center" vertical="center"/>
    </xf>
    <xf numFmtId="0" fontId="21" fillId="0" borderId="39" xfId="0" applyFont="1" applyBorder="1" applyAlignment="1" applyProtection="1">
      <alignment horizontal="center" vertical="center"/>
    </xf>
    <xf numFmtId="0" fontId="21" fillId="0" borderId="40" xfId="0" applyFont="1" applyBorder="1" applyAlignment="1" applyProtection="1">
      <alignment horizontal="center" vertical="center"/>
    </xf>
    <xf numFmtId="0" fontId="21" fillId="0" borderId="41" xfId="0" applyFont="1" applyBorder="1" applyAlignment="1" applyProtection="1">
      <alignment horizontal="center" vertical="center"/>
    </xf>
    <xf numFmtId="0" fontId="12" fillId="12" borderId="42" xfId="0" applyFont="1" applyFill="1" applyBorder="1" applyAlignment="1" applyProtection="1">
      <alignment horizontal="center" vertical="center" wrapText="1"/>
    </xf>
    <xf numFmtId="0" fontId="12" fillId="12" borderId="43" xfId="0" applyFont="1" applyFill="1" applyBorder="1" applyAlignment="1" applyProtection="1">
      <alignment horizontal="center" vertical="center" wrapText="1"/>
    </xf>
    <xf numFmtId="0" fontId="14" fillId="12" borderId="36" xfId="0" applyFont="1" applyFill="1" applyBorder="1" applyAlignment="1" applyProtection="1">
      <alignment horizontal="center" vertical="center" wrapText="1"/>
    </xf>
    <xf numFmtId="0" fontId="19" fillId="0" borderId="0" xfId="0" applyFont="1" applyAlignment="1">
      <alignment horizontal="left" vertical="center"/>
    </xf>
    <xf numFmtId="3" fontId="14" fillId="4" borderId="36" xfId="0" applyNumberFormat="1" applyFont="1" applyFill="1" applyBorder="1" applyAlignment="1" applyProtection="1">
      <alignment horizontal="center" vertical="center"/>
    </xf>
    <xf numFmtId="0" fontId="12" fillId="7" borderId="42" xfId="0" applyFont="1" applyFill="1" applyBorder="1" applyAlignment="1" applyProtection="1">
      <alignment horizontal="center" vertical="center" wrapText="1"/>
    </xf>
    <xf numFmtId="0" fontId="12" fillId="7" borderId="43" xfId="0" applyFont="1" applyFill="1" applyBorder="1" applyAlignment="1" applyProtection="1">
      <alignment horizontal="center" vertical="center" wrapText="1"/>
    </xf>
    <xf numFmtId="0" fontId="14" fillId="7" borderId="36" xfId="0" applyFont="1" applyFill="1" applyBorder="1" applyAlignment="1" applyProtection="1">
      <alignment horizontal="center" vertical="center" wrapText="1"/>
    </xf>
    <xf numFmtId="3" fontId="14" fillId="4" borderId="39" xfId="0" applyNumberFormat="1" applyFont="1" applyFill="1" applyBorder="1" applyAlignment="1" applyProtection="1">
      <alignment horizontal="center" vertical="center"/>
    </xf>
    <xf numFmtId="0" fontId="14" fillId="4" borderId="40" xfId="0" applyNumberFormat="1" applyFont="1" applyFill="1" applyBorder="1" applyAlignment="1" applyProtection="1">
      <alignment horizontal="center" vertical="center"/>
    </xf>
    <xf numFmtId="0" fontId="4" fillId="5" borderId="36" xfId="0" applyNumberFormat="1" applyFont="1" applyFill="1" applyBorder="1" applyAlignment="1" applyProtection="1">
      <alignment horizontal="center" vertical="center"/>
    </xf>
    <xf numFmtId="0" fontId="4" fillId="5" borderId="37" xfId="0" applyNumberFormat="1" applyFont="1" applyFill="1" applyBorder="1" applyAlignment="1" applyProtection="1">
      <alignment horizontal="center" vertical="center"/>
    </xf>
    <xf numFmtId="0" fontId="4" fillId="4" borderId="36" xfId="0" applyNumberFormat="1" applyFont="1" applyFill="1" applyBorder="1" applyAlignment="1" applyProtection="1">
      <alignment horizontal="center" vertical="center"/>
    </xf>
    <xf numFmtId="0" fontId="4" fillId="4" borderId="37" xfId="0" applyNumberFormat="1" applyFont="1" applyFill="1" applyBorder="1" applyAlignment="1" applyProtection="1">
      <alignment horizontal="center" vertical="center"/>
    </xf>
    <xf numFmtId="3" fontId="4" fillId="4" borderId="36" xfId="0" applyNumberFormat="1" applyFont="1" applyFill="1" applyBorder="1" applyAlignment="1" applyProtection="1">
      <alignment horizontal="center" vertical="center"/>
    </xf>
    <xf numFmtId="3" fontId="4" fillId="4" borderId="39" xfId="0" applyNumberFormat="1" applyFont="1" applyFill="1" applyBorder="1" applyAlignment="1" applyProtection="1">
      <alignment horizontal="center" vertical="center"/>
    </xf>
    <xf numFmtId="0" fontId="4" fillId="4" borderId="40" xfId="0" applyNumberFormat="1" applyFont="1" applyFill="1" applyBorder="1" applyAlignment="1" applyProtection="1">
      <alignment horizontal="center" vertical="center"/>
    </xf>
    <xf numFmtId="0" fontId="3" fillId="6" borderId="33" xfId="0" applyFont="1" applyFill="1" applyBorder="1" applyAlignment="1" applyProtection="1">
      <alignment horizontal="center" vertical="center" wrapText="1"/>
    </xf>
    <xf numFmtId="0" fontId="3" fillId="6" borderId="34" xfId="0" applyFont="1" applyFill="1" applyBorder="1" applyAlignment="1" applyProtection="1">
      <alignment horizontal="center" vertical="center" wrapText="1"/>
    </xf>
    <xf numFmtId="0" fontId="4" fillId="5" borderId="36" xfId="0" applyNumberFormat="1" applyFont="1" applyFill="1" applyBorder="1" applyAlignment="1" applyProtection="1">
      <alignment horizontal="center" vertical="center" wrapText="1"/>
    </xf>
    <xf numFmtId="0" fontId="4" fillId="5" borderId="39" xfId="0" applyNumberFormat="1" applyFont="1" applyFill="1" applyBorder="1" applyAlignment="1" applyProtection="1">
      <alignment horizontal="center" vertical="center"/>
    </xf>
    <xf numFmtId="0" fontId="4" fillId="5" borderId="40" xfId="0" applyNumberFormat="1" applyFont="1" applyFill="1" applyBorder="1" applyAlignment="1" applyProtection="1">
      <alignment horizontal="center" vertical="center"/>
    </xf>
    <xf numFmtId="0" fontId="3" fillId="9" borderId="33" xfId="0" applyFont="1" applyFill="1" applyBorder="1" applyAlignment="1" applyProtection="1">
      <alignment horizontal="center" vertical="center" wrapText="1"/>
    </xf>
    <xf numFmtId="0" fontId="3" fillId="9" borderId="34" xfId="0" applyFont="1" applyFill="1" applyBorder="1" applyAlignment="1" applyProtection="1">
      <alignment horizontal="center" vertical="center" wrapText="1"/>
    </xf>
    <xf numFmtId="0" fontId="12" fillId="7" borderId="33" xfId="0" applyFont="1" applyFill="1" applyBorder="1" applyAlignment="1" applyProtection="1">
      <alignment horizontal="center" vertical="center" wrapText="1"/>
    </xf>
    <xf numFmtId="0" fontId="12" fillId="7" borderId="34" xfId="0" applyFont="1" applyFill="1" applyBorder="1" applyAlignment="1" applyProtection="1">
      <alignment horizontal="center" vertical="center" wrapText="1"/>
    </xf>
    <xf numFmtId="0" fontId="3" fillId="4" borderId="33" xfId="0" applyFont="1" applyFill="1" applyBorder="1" applyAlignment="1" applyProtection="1">
      <alignment horizontal="center" vertical="center" wrapText="1"/>
    </xf>
    <xf numFmtId="0" fontId="3" fillId="4" borderId="34" xfId="0" applyFont="1" applyFill="1" applyBorder="1" applyAlignment="1" applyProtection="1">
      <alignment horizontal="center" vertical="center" wrapText="1"/>
    </xf>
    <xf numFmtId="0" fontId="4" fillId="4" borderId="36" xfId="0" applyNumberFormat="1" applyFont="1" applyFill="1" applyBorder="1" applyAlignment="1" applyProtection="1">
      <alignment horizontal="center" vertical="center" wrapText="1"/>
    </xf>
    <xf numFmtId="0" fontId="14" fillId="7" borderId="39" xfId="0" applyFont="1" applyFill="1" applyBorder="1" applyAlignment="1" applyProtection="1">
      <alignment horizontal="center" vertical="center"/>
    </xf>
    <xf numFmtId="0" fontId="21" fillId="4" borderId="26" xfId="0" applyFont="1" applyFill="1" applyBorder="1" applyAlignment="1" applyProtection="1">
      <alignment horizontal="center" vertical="center" wrapText="1"/>
    </xf>
    <xf numFmtId="0" fontId="21" fillId="4" borderId="27" xfId="0" applyFont="1" applyFill="1" applyBorder="1" applyAlignment="1" applyProtection="1">
      <alignment horizontal="center" vertical="center" wrapText="1"/>
    </xf>
    <xf numFmtId="0" fontId="21" fillId="4" borderId="30" xfId="0" applyFont="1" applyFill="1" applyBorder="1" applyAlignment="1" applyProtection="1">
      <alignment horizontal="center" vertical="center" wrapText="1"/>
    </xf>
    <xf numFmtId="0" fontId="10" fillId="0" borderId="26" xfId="0" applyFont="1" applyBorder="1" applyAlignment="1" applyProtection="1">
      <alignment horizontal="center" vertical="center"/>
    </xf>
    <xf numFmtId="0" fontId="10" fillId="0" borderId="27" xfId="0" applyFont="1" applyBorder="1" applyAlignment="1" applyProtection="1">
      <alignment horizontal="center" vertical="center"/>
    </xf>
    <xf numFmtId="0" fontId="10" fillId="0" borderId="30" xfId="0" applyFont="1" applyBorder="1" applyAlignment="1" applyProtection="1">
      <alignment horizontal="center" vertical="center"/>
    </xf>
    <xf numFmtId="0" fontId="10" fillId="6" borderId="26" xfId="0" applyFont="1" applyFill="1" applyBorder="1" applyAlignment="1" applyProtection="1">
      <alignment horizontal="center" vertical="center"/>
    </xf>
    <xf numFmtId="0" fontId="10" fillId="6" borderId="27" xfId="0" applyFont="1" applyFill="1" applyBorder="1" applyAlignment="1" applyProtection="1">
      <alignment horizontal="center" vertical="center"/>
    </xf>
    <xf numFmtId="0" fontId="10" fillId="6" borderId="30" xfId="0" applyFont="1" applyFill="1" applyBorder="1" applyAlignment="1" applyProtection="1">
      <alignment horizontal="center" vertical="center"/>
    </xf>
    <xf numFmtId="0" fontId="21" fillId="9" borderId="26" xfId="0" applyFont="1" applyFill="1" applyBorder="1" applyAlignment="1" applyProtection="1">
      <alignment horizontal="center" vertical="center" wrapText="1"/>
    </xf>
    <xf numFmtId="0" fontId="21" fillId="9" borderId="27" xfId="0" applyFont="1" applyFill="1" applyBorder="1" applyAlignment="1" applyProtection="1">
      <alignment horizontal="center" vertical="center" wrapText="1"/>
    </xf>
    <xf numFmtId="0" fontId="21" fillId="9" borderId="30" xfId="0" applyFont="1" applyFill="1" applyBorder="1" applyAlignment="1" applyProtection="1">
      <alignment horizontal="center" vertical="center" wrapText="1"/>
    </xf>
    <xf numFmtId="0" fontId="14" fillId="12" borderId="39" xfId="0" applyFont="1" applyFill="1" applyBorder="1" applyAlignment="1" applyProtection="1">
      <alignment horizontal="center" vertical="center"/>
    </xf>
    <xf numFmtId="0" fontId="12" fillId="12" borderId="33" xfId="0" applyFont="1" applyFill="1" applyBorder="1" applyAlignment="1" applyProtection="1">
      <alignment horizontal="center" vertical="center" wrapText="1"/>
    </xf>
    <xf numFmtId="0" fontId="12" fillId="12" borderId="34" xfId="0" applyFont="1" applyFill="1" applyBorder="1" applyAlignment="1" applyProtection="1">
      <alignment horizontal="center" vertical="center" wrapText="1"/>
    </xf>
  </cellXfs>
  <cellStyles count="3">
    <cellStyle name="20% - Accent4" xfId="2" builtinId="42"/>
    <cellStyle name="Calculation" xfId="1" builtinId="22"/>
    <cellStyle name="Normal" xfId="0" builtinId="0"/>
  </cellStyles>
  <dxfs count="11">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s>
  <tableStyles count="0" defaultTableStyle="TableStyleMedium2" defaultPivotStyle="PivotStyleLight16"/>
  <colors>
    <mruColors>
      <color rgb="FFFFC9FF"/>
      <color rgb="FFF2F2F2"/>
      <color rgb="FFFED8CE"/>
      <color rgb="FF896DFF"/>
      <color rgb="FFFF99FF"/>
      <color rgb="FFF3F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hyperlink" Target="#'Daily Data Entry'!A1"/><Relationship Id="rId1" Type="http://schemas.openxmlformats.org/officeDocument/2006/relationships/hyperlink" Target="#'Calculator Summary'!A1"/></Relationships>
</file>

<file path=xl/drawings/_rels/drawing2.xml.rels><?xml version="1.0" encoding="UTF-8" standalone="yes"?>
<Relationships xmlns="http://schemas.openxmlformats.org/package/2006/relationships"><Relationship Id="rId2" Type="http://schemas.openxmlformats.org/officeDocument/2006/relationships/hyperlink" Target="#'Calculator Summary'!A1"/><Relationship Id="rId1" Type="http://schemas.openxmlformats.org/officeDocument/2006/relationships/hyperlink" Target="#'Daily Data Entry'!A1"/></Relationships>
</file>

<file path=xl/drawings/drawing1.xml><?xml version="1.0" encoding="utf-8"?>
<xdr:wsDr xmlns:xdr="http://schemas.openxmlformats.org/drawingml/2006/spreadsheetDrawing" xmlns:a="http://schemas.openxmlformats.org/drawingml/2006/main">
  <xdr:twoCellAnchor>
    <xdr:from>
      <xdr:col>3</xdr:col>
      <xdr:colOff>350572</xdr:colOff>
      <xdr:row>0</xdr:row>
      <xdr:rowOff>63498</xdr:rowOff>
    </xdr:from>
    <xdr:to>
      <xdr:col>4</xdr:col>
      <xdr:colOff>1038158</xdr:colOff>
      <xdr:row>0</xdr:row>
      <xdr:rowOff>370414</xdr:rowOff>
    </xdr:to>
    <xdr:sp macro="" textlink="">
      <xdr:nvSpPr>
        <xdr:cNvPr id="7" name="Rounded Rectangle 4">
          <a:hlinkClick xmlns:r="http://schemas.openxmlformats.org/officeDocument/2006/relationships" r:id="rId1"/>
          <a:extLst>
            <a:ext uri="{FF2B5EF4-FFF2-40B4-BE49-F238E27FC236}">
              <a16:creationId xmlns:a16="http://schemas.microsoft.com/office/drawing/2014/main" id="{AAAC490F-7AF2-4E93-8C18-225895BD5EE0}"/>
            </a:ext>
          </a:extLst>
        </xdr:cNvPr>
        <xdr:cNvSpPr/>
      </xdr:nvSpPr>
      <xdr:spPr>
        <a:xfrm>
          <a:off x="2627642" y="63498"/>
          <a:ext cx="2205633" cy="30691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Calculator</a:t>
          </a:r>
          <a:r>
            <a:rPr lang="en-US" sz="1600" baseline="0"/>
            <a:t> Summary</a:t>
          </a:r>
          <a:endParaRPr lang="en-US" sz="1600"/>
        </a:p>
        <a:p>
          <a:pPr algn="ctr"/>
          <a:endParaRPr lang="en-US" sz="1400"/>
        </a:p>
      </xdr:txBody>
    </xdr:sp>
    <xdr:clientData/>
  </xdr:twoCellAnchor>
  <xdr:twoCellAnchor>
    <xdr:from>
      <xdr:col>1</xdr:col>
      <xdr:colOff>10583</xdr:colOff>
      <xdr:row>0</xdr:row>
      <xdr:rowOff>63498</xdr:rowOff>
    </xdr:from>
    <xdr:to>
      <xdr:col>2</xdr:col>
      <xdr:colOff>666749</xdr:colOff>
      <xdr:row>0</xdr:row>
      <xdr:rowOff>370414</xdr:rowOff>
    </xdr:to>
    <xdr:sp macro="" textlink="">
      <xdr:nvSpPr>
        <xdr:cNvPr id="9" name="Rounded Rectangle 4">
          <a:hlinkClick xmlns:r="http://schemas.openxmlformats.org/officeDocument/2006/relationships" r:id="rId2"/>
          <a:extLst>
            <a:ext uri="{FF2B5EF4-FFF2-40B4-BE49-F238E27FC236}">
              <a16:creationId xmlns:a16="http://schemas.microsoft.com/office/drawing/2014/main" id="{259C328E-BD5A-4764-A7A2-D7DDADA3738C}"/>
            </a:ext>
          </a:extLst>
        </xdr:cNvPr>
        <xdr:cNvSpPr/>
      </xdr:nvSpPr>
      <xdr:spPr>
        <a:xfrm>
          <a:off x="232833" y="63498"/>
          <a:ext cx="1672166" cy="30691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Daily</a:t>
          </a:r>
          <a:r>
            <a:rPr lang="en-US" sz="1600" baseline="0"/>
            <a:t> Data Entry</a:t>
          </a:r>
          <a:endParaRPr lang="en-US" sz="1600"/>
        </a:p>
        <a:p>
          <a:pPr algn="ctr"/>
          <a:endParaRPr lang="en-US" sz="14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29769</xdr:colOff>
      <xdr:row>0</xdr:row>
      <xdr:rowOff>59532</xdr:rowOff>
    </xdr:from>
    <xdr:to>
      <xdr:col>2</xdr:col>
      <xdr:colOff>685935</xdr:colOff>
      <xdr:row>0</xdr:row>
      <xdr:rowOff>366448</xdr:rowOff>
    </xdr:to>
    <xdr:sp macro="" textlink="">
      <xdr:nvSpPr>
        <xdr:cNvPr id="5" name="Rounded Rectangle 4">
          <a:hlinkClick xmlns:r="http://schemas.openxmlformats.org/officeDocument/2006/relationships" r:id="rId1"/>
          <a:extLst>
            <a:ext uri="{FF2B5EF4-FFF2-40B4-BE49-F238E27FC236}">
              <a16:creationId xmlns:a16="http://schemas.microsoft.com/office/drawing/2014/main" id="{4FED5688-B4D4-4734-BFBE-6699501A83E9}"/>
            </a:ext>
          </a:extLst>
        </xdr:cNvPr>
        <xdr:cNvSpPr/>
      </xdr:nvSpPr>
      <xdr:spPr>
        <a:xfrm>
          <a:off x="253011" y="59532"/>
          <a:ext cx="1668197" cy="30691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Daily</a:t>
          </a:r>
          <a:r>
            <a:rPr lang="en-US" sz="1600" baseline="0"/>
            <a:t> Data Entry</a:t>
          </a:r>
          <a:endParaRPr lang="en-US" sz="1600"/>
        </a:p>
        <a:p>
          <a:pPr algn="ctr"/>
          <a:endParaRPr lang="en-US" sz="1400"/>
        </a:p>
      </xdr:txBody>
    </xdr:sp>
    <xdr:clientData/>
  </xdr:twoCellAnchor>
  <xdr:twoCellAnchor>
    <xdr:from>
      <xdr:col>3</xdr:col>
      <xdr:colOff>461362</xdr:colOff>
      <xdr:row>0</xdr:row>
      <xdr:rowOff>59532</xdr:rowOff>
    </xdr:from>
    <xdr:to>
      <xdr:col>5</xdr:col>
      <xdr:colOff>821526</xdr:colOff>
      <xdr:row>0</xdr:row>
      <xdr:rowOff>366448</xdr:rowOff>
    </xdr:to>
    <xdr:sp macro="" textlink="">
      <xdr:nvSpPr>
        <xdr:cNvPr id="7" name="Rounded Rectangle 4">
          <a:hlinkClick xmlns:r="http://schemas.openxmlformats.org/officeDocument/2006/relationships" r:id="rId2"/>
          <a:extLst>
            <a:ext uri="{FF2B5EF4-FFF2-40B4-BE49-F238E27FC236}">
              <a16:creationId xmlns:a16="http://schemas.microsoft.com/office/drawing/2014/main" id="{94215C77-6C02-4CB0-A3EF-8BBD34D10974}"/>
            </a:ext>
          </a:extLst>
        </xdr:cNvPr>
        <xdr:cNvSpPr/>
      </xdr:nvSpPr>
      <xdr:spPr>
        <a:xfrm>
          <a:off x="2738432" y="59532"/>
          <a:ext cx="2205633" cy="30691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Calculator</a:t>
          </a:r>
          <a:r>
            <a:rPr lang="en-US" sz="1600" baseline="0"/>
            <a:t> Summary</a:t>
          </a:r>
          <a:endParaRPr lang="en-US" sz="1600"/>
        </a:p>
        <a:p>
          <a:pPr algn="ctr"/>
          <a:endParaRPr lang="en-US" sz="14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A112"/>
  <sheetViews>
    <sheetView showGridLines="0" tabSelected="1" zoomScale="80" zoomScaleNormal="80" workbookViewId="0">
      <pane ySplit="1" topLeftCell="A2" activePane="bottomLeft" state="frozen"/>
      <selection pane="bottomLeft" activeCell="R5" sqref="R5"/>
    </sheetView>
  </sheetViews>
  <sheetFormatPr defaultColWidth="9.28515625" defaultRowHeight="15" x14ac:dyDescent="0.25"/>
  <cols>
    <col min="1" max="1" width="3.28515625" style="3" customWidth="1"/>
    <col min="2" max="2" width="15.28515625" style="3" customWidth="1"/>
    <col min="3" max="3" width="15.5703125" style="3" customWidth="1"/>
    <col min="4" max="4" width="22.7109375" style="3" customWidth="1"/>
    <col min="5" max="18" width="21.7109375" style="3" customWidth="1"/>
    <col min="19" max="19" width="10.7109375" style="3" customWidth="1"/>
    <col min="20" max="21" width="22.7109375" style="3" customWidth="1"/>
    <col min="22" max="22" width="83.7109375" style="3" customWidth="1"/>
    <col min="23" max="23" width="68" style="3" customWidth="1"/>
    <col min="24" max="16384" width="9.28515625" style="3"/>
  </cols>
  <sheetData>
    <row r="1" spans="1:19" s="2" customFormat="1" ht="33" customHeight="1" x14ac:dyDescent="0.25">
      <c r="A1" s="1"/>
      <c r="B1" s="1"/>
      <c r="C1" s="1"/>
      <c r="D1" s="1"/>
      <c r="E1" s="1"/>
      <c r="F1" s="1"/>
      <c r="G1" s="1"/>
      <c r="H1" s="1"/>
      <c r="I1" s="1"/>
      <c r="J1" s="1"/>
      <c r="K1" s="1"/>
      <c r="L1" s="1"/>
      <c r="M1" s="1"/>
      <c r="N1" s="1"/>
      <c r="O1" s="1"/>
      <c r="P1" s="1"/>
      <c r="Q1" s="1"/>
      <c r="R1" s="1"/>
      <c r="S1" s="1"/>
    </row>
    <row r="2" spans="1:19" s="2" customFormat="1" ht="18" customHeight="1" thickBot="1" x14ac:dyDescent="0.3">
      <c r="A2" s="1"/>
      <c r="B2" s="1"/>
      <c r="C2" s="1"/>
      <c r="D2" s="1"/>
      <c r="E2" s="1"/>
      <c r="F2" s="1"/>
      <c r="G2" s="1"/>
      <c r="H2" s="1"/>
      <c r="I2" s="1"/>
      <c r="J2" s="1"/>
      <c r="K2" s="1"/>
      <c r="L2" s="1"/>
      <c r="M2" s="1"/>
      <c r="N2" s="1"/>
      <c r="O2" s="1"/>
      <c r="P2" s="1"/>
      <c r="Q2" s="1"/>
      <c r="R2" s="1"/>
      <c r="S2" s="1"/>
    </row>
    <row r="3" spans="1:19" s="2" customFormat="1" ht="40.5" customHeight="1" thickBot="1" x14ac:dyDescent="0.3">
      <c r="A3" s="1"/>
      <c r="B3" s="132" t="s">
        <v>56</v>
      </c>
      <c r="C3" s="133"/>
      <c r="D3" s="133"/>
      <c r="E3" s="133"/>
      <c r="F3" s="133"/>
      <c r="G3" s="133"/>
      <c r="H3" s="133"/>
      <c r="I3" s="133"/>
      <c r="J3" s="133"/>
      <c r="K3" s="133"/>
      <c r="L3" s="133"/>
      <c r="M3" s="133"/>
      <c r="N3" s="133"/>
      <c r="O3" s="133"/>
      <c r="P3" s="133"/>
      <c r="Q3" s="133"/>
      <c r="R3" s="134"/>
      <c r="S3" s="1"/>
    </row>
    <row r="4" spans="1:19" ht="22.5" customHeight="1" x14ac:dyDescent="0.25">
      <c r="B4" s="145"/>
      <c r="C4" s="146"/>
      <c r="D4" s="147"/>
      <c r="E4" s="47" t="s">
        <v>0</v>
      </c>
      <c r="F4" s="47" t="s">
        <v>1</v>
      </c>
      <c r="G4" s="47" t="s">
        <v>2</v>
      </c>
      <c r="H4" s="47" t="s">
        <v>3</v>
      </c>
      <c r="I4" s="47" t="s">
        <v>4</v>
      </c>
      <c r="J4" s="47" t="s">
        <v>5</v>
      </c>
      <c r="K4" s="47" t="s">
        <v>6</v>
      </c>
      <c r="L4" s="47" t="s">
        <v>7</v>
      </c>
      <c r="M4" s="47" t="s">
        <v>8</v>
      </c>
      <c r="N4" s="47" t="s">
        <v>9</v>
      </c>
      <c r="O4" s="47" t="s">
        <v>10</v>
      </c>
      <c r="P4" s="47" t="s">
        <v>11</v>
      </c>
      <c r="Q4" s="47" t="s">
        <v>12</v>
      </c>
      <c r="R4" s="48" t="s">
        <v>13</v>
      </c>
      <c r="S4" s="4"/>
    </row>
    <row r="5" spans="1:19" s="23" customFormat="1" ht="25.5" customHeight="1" x14ac:dyDescent="0.25">
      <c r="B5" s="148"/>
      <c r="C5" s="149"/>
      <c r="D5" s="150"/>
      <c r="E5" s="49" t="s">
        <v>65</v>
      </c>
      <c r="F5" s="49" t="s">
        <v>65</v>
      </c>
      <c r="G5" s="49" t="s">
        <v>65</v>
      </c>
      <c r="H5" s="49" t="s">
        <v>65</v>
      </c>
      <c r="I5" s="49" t="s">
        <v>65</v>
      </c>
      <c r="J5" s="49" t="s">
        <v>65</v>
      </c>
      <c r="K5" s="49" t="s">
        <v>65</v>
      </c>
      <c r="L5" s="49" t="s">
        <v>65</v>
      </c>
      <c r="M5" s="49" t="s">
        <v>65</v>
      </c>
      <c r="N5" s="49" t="s">
        <v>65</v>
      </c>
      <c r="O5" s="49" t="s">
        <v>65</v>
      </c>
      <c r="P5" s="49" t="s">
        <v>65</v>
      </c>
      <c r="Q5" s="49" t="s">
        <v>65</v>
      </c>
      <c r="R5" s="50" t="s">
        <v>65</v>
      </c>
      <c r="S5" s="24"/>
    </row>
    <row r="6" spans="1:19" s="6" customFormat="1" ht="24.75" customHeight="1" x14ac:dyDescent="0.25">
      <c r="B6" s="151"/>
      <c r="C6" s="152"/>
      <c r="D6" s="153"/>
      <c r="E6" s="20" t="s">
        <v>36</v>
      </c>
      <c r="F6" s="21"/>
      <c r="G6" s="21"/>
      <c r="H6" s="21"/>
      <c r="I6" s="21"/>
      <c r="J6" s="21"/>
      <c r="K6" s="21"/>
      <c r="L6" s="21"/>
      <c r="M6" s="21"/>
      <c r="N6" s="21"/>
      <c r="O6" s="21"/>
      <c r="P6" s="21"/>
      <c r="Q6" s="21"/>
      <c r="R6" s="22"/>
      <c r="S6" s="7"/>
    </row>
    <row r="7" spans="1:19" s="6" customFormat="1" ht="58.5" customHeight="1" x14ac:dyDescent="0.25">
      <c r="B7" s="128" t="s">
        <v>55</v>
      </c>
      <c r="C7" s="144"/>
      <c r="D7" s="129"/>
      <c r="E7" s="49"/>
      <c r="F7" s="49"/>
      <c r="G7" s="49"/>
      <c r="H7" s="49"/>
      <c r="I7" s="49"/>
      <c r="J7" s="49"/>
      <c r="K7" s="49"/>
      <c r="L7" s="49"/>
      <c r="M7" s="51"/>
      <c r="N7" s="49"/>
      <c r="O7" s="49"/>
      <c r="P7" s="49"/>
      <c r="Q7" s="49"/>
      <c r="R7" s="50"/>
      <c r="S7" s="7"/>
    </row>
    <row r="8" spans="1:19" ht="39" customHeight="1" x14ac:dyDescent="0.25">
      <c r="B8" s="128" t="s">
        <v>14</v>
      </c>
      <c r="C8" s="129"/>
      <c r="D8" s="52" t="s">
        <v>45</v>
      </c>
      <c r="E8" s="137" t="s">
        <v>54</v>
      </c>
      <c r="F8" s="138"/>
      <c r="G8" s="138"/>
      <c r="H8" s="138"/>
      <c r="I8" s="138"/>
      <c r="J8" s="138"/>
      <c r="K8" s="138"/>
      <c r="L8" s="138"/>
      <c r="M8" s="138"/>
      <c r="N8" s="138"/>
      <c r="O8" s="138"/>
      <c r="P8" s="138"/>
      <c r="Q8" s="138"/>
      <c r="R8" s="139"/>
      <c r="S8" s="4"/>
    </row>
    <row r="9" spans="1:19" ht="21.75" customHeight="1" x14ac:dyDescent="0.25">
      <c r="B9" s="130" t="s">
        <v>61</v>
      </c>
      <c r="C9" s="131"/>
      <c r="D9" s="55">
        <v>0</v>
      </c>
      <c r="E9" s="55"/>
      <c r="F9" s="55"/>
      <c r="G9" s="55"/>
      <c r="H9" s="55"/>
      <c r="I9" s="55"/>
      <c r="J9" s="55"/>
      <c r="K9" s="55"/>
      <c r="L9" s="55"/>
      <c r="M9" s="55"/>
      <c r="N9" s="55"/>
      <c r="O9" s="55"/>
      <c r="P9" s="55"/>
      <c r="Q9" s="55"/>
      <c r="R9" s="56"/>
      <c r="S9" s="4"/>
    </row>
    <row r="10" spans="1:19" ht="21.75" customHeight="1" x14ac:dyDescent="0.25">
      <c r="B10" s="113" t="s">
        <v>15</v>
      </c>
      <c r="C10" s="53" t="s">
        <v>16</v>
      </c>
      <c r="D10" s="57">
        <v>0</v>
      </c>
      <c r="E10" s="57"/>
      <c r="F10" s="57"/>
      <c r="G10" s="57"/>
      <c r="H10" s="57"/>
      <c r="I10" s="57"/>
      <c r="J10" s="57"/>
      <c r="K10" s="57"/>
      <c r="L10" s="57"/>
      <c r="M10" s="57"/>
      <c r="N10" s="57"/>
      <c r="O10" s="57"/>
      <c r="P10" s="57"/>
      <c r="Q10" s="57"/>
      <c r="R10" s="58"/>
      <c r="S10" s="4"/>
    </row>
    <row r="11" spans="1:19" ht="21.75" customHeight="1" x14ac:dyDescent="0.25">
      <c r="B11" s="114"/>
      <c r="C11" s="53" t="s">
        <v>17</v>
      </c>
      <c r="D11" s="57">
        <v>0</v>
      </c>
      <c r="E11" s="57"/>
      <c r="F11" s="57"/>
      <c r="G11" s="57"/>
      <c r="H11" s="57"/>
      <c r="I11" s="57"/>
      <c r="J11" s="57"/>
      <c r="K11" s="57"/>
      <c r="L11" s="57"/>
      <c r="M11" s="57"/>
      <c r="N11" s="57"/>
      <c r="O11" s="57"/>
      <c r="P11" s="57"/>
      <c r="Q11" s="57"/>
      <c r="R11" s="58"/>
      <c r="S11" s="4"/>
    </row>
    <row r="12" spans="1:19" ht="21.75" customHeight="1" x14ac:dyDescent="0.25">
      <c r="B12" s="114"/>
      <c r="C12" s="53" t="s">
        <v>18</v>
      </c>
      <c r="D12" s="57">
        <v>0</v>
      </c>
      <c r="E12" s="57"/>
      <c r="F12" s="57"/>
      <c r="G12" s="57"/>
      <c r="H12" s="57"/>
      <c r="I12" s="57"/>
      <c r="J12" s="57"/>
      <c r="K12" s="57"/>
      <c r="L12" s="57"/>
      <c r="M12" s="57"/>
      <c r="N12" s="57"/>
      <c r="O12" s="57"/>
      <c r="P12" s="57"/>
      <c r="Q12" s="57"/>
      <c r="R12" s="58"/>
      <c r="S12" s="4"/>
    </row>
    <row r="13" spans="1:19" ht="21.75" customHeight="1" x14ac:dyDescent="0.25">
      <c r="B13" s="114"/>
      <c r="C13" s="53" t="s">
        <v>19</v>
      </c>
      <c r="D13" s="57">
        <v>0</v>
      </c>
      <c r="E13" s="57"/>
      <c r="F13" s="57"/>
      <c r="G13" s="57"/>
      <c r="H13" s="57"/>
      <c r="I13" s="57"/>
      <c r="J13" s="57"/>
      <c r="K13" s="57"/>
      <c r="L13" s="57"/>
      <c r="M13" s="57"/>
      <c r="N13" s="57"/>
      <c r="O13" s="57"/>
      <c r="P13" s="57"/>
      <c r="Q13" s="57"/>
      <c r="R13" s="58"/>
      <c r="S13" s="4"/>
    </row>
    <row r="14" spans="1:19" ht="21.75" customHeight="1" x14ac:dyDescent="0.25">
      <c r="B14" s="130" t="s">
        <v>35</v>
      </c>
      <c r="C14" s="131"/>
      <c r="D14" s="57">
        <v>0</v>
      </c>
      <c r="E14" s="57"/>
      <c r="F14" s="57"/>
      <c r="G14" s="57"/>
      <c r="H14" s="57"/>
      <c r="I14" s="57"/>
      <c r="J14" s="57"/>
      <c r="K14" s="57"/>
      <c r="L14" s="57"/>
      <c r="M14" s="57"/>
      <c r="N14" s="57"/>
      <c r="O14" s="57"/>
      <c r="P14" s="57"/>
      <c r="Q14" s="57"/>
      <c r="R14" s="58"/>
      <c r="S14" s="4"/>
    </row>
    <row r="15" spans="1:19" ht="21.75" customHeight="1" x14ac:dyDescent="0.25">
      <c r="B15" s="130" t="s">
        <v>20</v>
      </c>
      <c r="C15" s="131"/>
      <c r="D15" s="57">
        <v>0</v>
      </c>
      <c r="E15" s="57"/>
      <c r="F15" s="57"/>
      <c r="G15" s="57"/>
      <c r="H15" s="57"/>
      <c r="I15" s="57"/>
      <c r="J15" s="57"/>
      <c r="K15" s="57"/>
      <c r="L15" s="57"/>
      <c r="M15" s="57"/>
      <c r="N15" s="57"/>
      <c r="O15" s="57"/>
      <c r="P15" s="57"/>
      <c r="Q15" s="57"/>
      <c r="R15" s="58"/>
      <c r="S15" s="4"/>
    </row>
    <row r="16" spans="1:19" ht="21.75" customHeight="1" x14ac:dyDescent="0.25">
      <c r="B16" s="130" t="s">
        <v>46</v>
      </c>
      <c r="C16" s="131"/>
      <c r="D16" s="57">
        <v>0</v>
      </c>
      <c r="E16" s="57"/>
      <c r="F16" s="57"/>
      <c r="G16" s="57"/>
      <c r="H16" s="57"/>
      <c r="I16" s="57"/>
      <c r="J16" s="57"/>
      <c r="K16" s="57"/>
      <c r="L16" s="57"/>
      <c r="M16" s="57"/>
      <c r="N16" s="57"/>
      <c r="O16" s="57"/>
      <c r="P16" s="57"/>
      <c r="Q16" s="57"/>
      <c r="R16" s="58"/>
      <c r="S16" s="4"/>
    </row>
    <row r="17" spans="1:19" ht="21.75" customHeight="1" x14ac:dyDescent="0.25">
      <c r="B17" s="130" t="s">
        <v>47</v>
      </c>
      <c r="C17" s="131"/>
      <c r="D17" s="57">
        <v>0</v>
      </c>
      <c r="E17" s="57"/>
      <c r="F17" s="57"/>
      <c r="G17" s="57"/>
      <c r="H17" s="57"/>
      <c r="I17" s="57"/>
      <c r="J17" s="57"/>
      <c r="K17" s="57"/>
      <c r="L17" s="57"/>
      <c r="M17" s="57"/>
      <c r="N17" s="57"/>
      <c r="O17" s="57"/>
      <c r="P17" s="57"/>
      <c r="Q17" s="57"/>
      <c r="R17" s="58"/>
      <c r="S17" s="4"/>
    </row>
    <row r="18" spans="1:19" ht="21.75" customHeight="1" x14ac:dyDescent="0.25">
      <c r="B18" s="130" t="s">
        <v>62</v>
      </c>
      <c r="C18" s="131"/>
      <c r="D18" s="57">
        <v>0</v>
      </c>
      <c r="E18" s="57"/>
      <c r="F18" s="57"/>
      <c r="G18" s="57"/>
      <c r="H18" s="57"/>
      <c r="I18" s="57"/>
      <c r="J18" s="57"/>
      <c r="K18" s="57"/>
      <c r="L18" s="57"/>
      <c r="M18" s="57"/>
      <c r="N18" s="57"/>
      <c r="O18" s="57"/>
      <c r="P18" s="57"/>
      <c r="Q18" s="57"/>
      <c r="R18" s="58"/>
      <c r="S18" s="4"/>
    </row>
    <row r="19" spans="1:19" ht="21.75" customHeight="1" x14ac:dyDescent="0.25">
      <c r="B19" s="111" t="s">
        <v>59</v>
      </c>
      <c r="C19" s="112"/>
      <c r="D19" s="57">
        <v>0</v>
      </c>
      <c r="E19" s="57"/>
      <c r="F19" s="57"/>
      <c r="G19" s="57"/>
      <c r="H19" s="57"/>
      <c r="I19" s="57"/>
      <c r="J19" s="57"/>
      <c r="K19" s="57"/>
      <c r="L19" s="57"/>
      <c r="M19" s="59"/>
      <c r="N19" s="59"/>
      <c r="O19" s="59"/>
      <c r="P19" s="59"/>
      <c r="Q19" s="59"/>
      <c r="R19" s="60"/>
      <c r="S19" s="4"/>
    </row>
    <row r="20" spans="1:19" ht="21.75" customHeight="1" x14ac:dyDescent="0.25">
      <c r="B20" s="111" t="s">
        <v>60</v>
      </c>
      <c r="C20" s="112"/>
      <c r="D20" s="57"/>
      <c r="E20" s="57"/>
      <c r="F20" s="57"/>
      <c r="G20" s="57"/>
      <c r="H20" s="57"/>
      <c r="I20" s="57"/>
      <c r="J20" s="57"/>
      <c r="K20" s="57"/>
      <c r="L20" s="57"/>
      <c r="M20" s="59"/>
      <c r="N20" s="59"/>
      <c r="O20" s="59"/>
      <c r="P20" s="59"/>
      <c r="Q20" s="59"/>
      <c r="R20" s="60"/>
      <c r="S20" s="4"/>
    </row>
    <row r="21" spans="1:19" ht="21.75" customHeight="1" x14ac:dyDescent="0.25">
      <c r="B21" s="111" t="s">
        <v>63</v>
      </c>
      <c r="C21" s="112"/>
      <c r="D21" s="57"/>
      <c r="E21" s="57"/>
      <c r="F21" s="57"/>
      <c r="G21" s="57"/>
      <c r="H21" s="57"/>
      <c r="I21" s="57"/>
      <c r="J21" s="57"/>
      <c r="K21" s="57"/>
      <c r="L21" s="57"/>
      <c r="M21" s="59"/>
      <c r="N21" s="59"/>
      <c r="O21" s="59"/>
      <c r="P21" s="59"/>
      <c r="Q21" s="59"/>
      <c r="R21" s="60"/>
      <c r="S21" s="4"/>
    </row>
    <row r="22" spans="1:19" ht="21.75" customHeight="1" x14ac:dyDescent="0.25">
      <c r="B22" s="111" t="s">
        <v>64</v>
      </c>
      <c r="C22" s="112"/>
      <c r="D22" s="57"/>
      <c r="E22" s="59"/>
      <c r="F22" s="59"/>
      <c r="G22" s="59"/>
      <c r="H22" s="59"/>
      <c r="I22" s="59"/>
      <c r="J22" s="59"/>
      <c r="K22" s="59"/>
      <c r="L22" s="59"/>
      <c r="M22" s="59"/>
      <c r="N22" s="59"/>
      <c r="O22" s="59"/>
      <c r="P22" s="59"/>
      <c r="Q22" s="59"/>
      <c r="R22" s="60"/>
      <c r="S22" s="4"/>
    </row>
    <row r="23" spans="1:19" s="43" customFormat="1" ht="21.75" customHeight="1" thickBot="1" x14ac:dyDescent="0.3">
      <c r="B23" s="115" t="s">
        <v>64</v>
      </c>
      <c r="C23" s="116"/>
      <c r="D23" s="61"/>
      <c r="E23" s="61"/>
      <c r="F23" s="61"/>
      <c r="G23" s="61"/>
      <c r="H23" s="61"/>
      <c r="I23" s="61"/>
      <c r="J23" s="61"/>
      <c r="K23" s="61"/>
      <c r="L23" s="61"/>
      <c r="M23" s="61"/>
      <c r="N23" s="61"/>
      <c r="O23" s="61"/>
      <c r="P23" s="61"/>
      <c r="Q23" s="61"/>
      <c r="R23" s="62"/>
      <c r="S23" s="44"/>
    </row>
    <row r="24" spans="1:19" s="2" customFormat="1" ht="21.75" customHeight="1" x14ac:dyDescent="0.25">
      <c r="A24" s="1"/>
      <c r="B24" s="45"/>
      <c r="C24" s="45"/>
      <c r="D24" s="45"/>
      <c r="E24" s="45"/>
      <c r="F24" s="45"/>
      <c r="G24" s="45"/>
      <c r="H24" s="45"/>
      <c r="I24" s="45"/>
      <c r="J24" s="45"/>
      <c r="K24" s="45"/>
      <c r="L24" s="45"/>
      <c r="M24" s="45"/>
      <c r="N24" s="45"/>
      <c r="O24" s="45"/>
      <c r="P24" s="45"/>
      <c r="Q24" s="45"/>
      <c r="R24" s="45"/>
      <c r="S24" s="9"/>
    </row>
    <row r="25" spans="1:19" s="28" customFormat="1" ht="28.5" x14ac:dyDescent="0.25">
      <c r="B25" s="187" t="s">
        <v>53</v>
      </c>
      <c r="C25" s="187"/>
      <c r="D25" s="187"/>
      <c r="E25" s="187"/>
      <c r="F25" s="187"/>
      <c r="G25" s="187"/>
      <c r="H25" s="187"/>
      <c r="I25" s="187"/>
      <c r="J25" s="187"/>
      <c r="K25" s="187"/>
      <c r="L25" s="187"/>
      <c r="M25" s="187"/>
    </row>
    <row r="26" spans="1:19" s="28" customFormat="1" ht="18.75" x14ac:dyDescent="0.3">
      <c r="B26" s="29"/>
      <c r="C26" s="29"/>
      <c r="D26" s="29"/>
      <c r="E26" s="29"/>
      <c r="F26" s="29"/>
      <c r="G26" s="29"/>
      <c r="H26" s="29"/>
      <c r="I26" s="29"/>
      <c r="J26" s="29"/>
      <c r="K26" s="29"/>
      <c r="L26" s="29"/>
      <c r="M26" s="29"/>
    </row>
    <row r="27" spans="1:19" s="46" customFormat="1" ht="24" customHeight="1" x14ac:dyDescent="0.35">
      <c r="B27" s="127" t="s">
        <v>40</v>
      </c>
      <c r="C27" s="127"/>
      <c r="D27" s="127"/>
      <c r="E27" s="127"/>
      <c r="F27" s="127"/>
      <c r="G27" s="127"/>
      <c r="H27" s="127"/>
      <c r="I27" s="127"/>
      <c r="J27" s="127"/>
      <c r="K27" s="127"/>
      <c r="L27" s="127"/>
      <c r="M27" s="127"/>
      <c r="N27" s="127"/>
      <c r="O27" s="127"/>
      <c r="P27" s="127"/>
      <c r="Q27" s="127"/>
      <c r="R27" s="127"/>
    </row>
    <row r="28" spans="1:19" s="46" customFormat="1" ht="24" customHeight="1" x14ac:dyDescent="0.35">
      <c r="B28" s="127" t="s">
        <v>41</v>
      </c>
      <c r="C28" s="127"/>
      <c r="D28" s="127"/>
      <c r="E28" s="127"/>
      <c r="F28" s="127"/>
      <c r="G28" s="127"/>
      <c r="H28" s="127"/>
      <c r="I28" s="127"/>
      <c r="J28" s="127"/>
      <c r="K28" s="127"/>
      <c r="L28" s="127"/>
      <c r="M28" s="127"/>
      <c r="N28" s="127"/>
      <c r="O28" s="127"/>
      <c r="P28" s="127"/>
      <c r="Q28" s="127"/>
      <c r="R28" s="127"/>
    </row>
    <row r="29" spans="1:19" s="46" customFormat="1" ht="24" customHeight="1" x14ac:dyDescent="0.35">
      <c r="B29" s="127" t="s">
        <v>42</v>
      </c>
      <c r="C29" s="127"/>
      <c r="D29" s="127"/>
      <c r="E29" s="127"/>
      <c r="F29" s="127"/>
      <c r="G29" s="127"/>
      <c r="H29" s="127"/>
      <c r="I29" s="127"/>
      <c r="J29" s="127"/>
      <c r="K29" s="127"/>
      <c r="L29" s="127"/>
      <c r="M29" s="127"/>
      <c r="N29" s="127"/>
      <c r="O29" s="127"/>
      <c r="P29" s="127"/>
      <c r="Q29" s="127"/>
      <c r="R29" s="127"/>
    </row>
    <row r="30" spans="1:19" s="46" customFormat="1" ht="24" customHeight="1" x14ac:dyDescent="0.35">
      <c r="B30" s="117" t="s">
        <v>43</v>
      </c>
      <c r="C30" s="117"/>
      <c r="D30" s="117"/>
      <c r="E30" s="117"/>
      <c r="F30" s="117"/>
      <c r="G30" s="117"/>
      <c r="H30" s="117"/>
      <c r="I30" s="117"/>
      <c r="J30" s="117"/>
      <c r="K30" s="117"/>
      <c r="L30" s="117"/>
      <c r="M30" s="117"/>
      <c r="N30" s="117"/>
      <c r="O30" s="117"/>
      <c r="P30" s="117"/>
      <c r="Q30" s="117"/>
      <c r="R30" s="117"/>
    </row>
    <row r="31" spans="1:19" s="46" customFormat="1" ht="24" customHeight="1" x14ac:dyDescent="0.35">
      <c r="B31" s="117" t="s">
        <v>39</v>
      </c>
      <c r="C31" s="117"/>
      <c r="D31" s="117"/>
      <c r="E31" s="117"/>
      <c r="F31" s="117"/>
      <c r="G31" s="117"/>
      <c r="H31" s="117"/>
      <c r="I31" s="117"/>
      <c r="J31" s="117"/>
      <c r="K31" s="117"/>
      <c r="L31" s="117"/>
      <c r="M31" s="117"/>
      <c r="N31" s="117"/>
      <c r="O31" s="117"/>
      <c r="P31" s="117"/>
      <c r="Q31" s="117"/>
      <c r="R31" s="117"/>
    </row>
    <row r="32" spans="1:19" s="46" customFormat="1" ht="24" customHeight="1" x14ac:dyDescent="0.35">
      <c r="B32" s="117" t="s">
        <v>44</v>
      </c>
      <c r="C32" s="117"/>
      <c r="D32" s="117"/>
      <c r="E32" s="117"/>
      <c r="F32" s="117"/>
      <c r="G32" s="117"/>
      <c r="H32" s="117"/>
      <c r="I32" s="117"/>
      <c r="J32" s="117"/>
      <c r="K32" s="117"/>
      <c r="L32" s="117"/>
      <c r="M32" s="117"/>
      <c r="N32" s="117"/>
      <c r="O32" s="117"/>
      <c r="P32" s="117"/>
      <c r="Q32" s="117"/>
      <c r="R32" s="117"/>
    </row>
    <row r="33" spans="1:313" s="2" customFormat="1" ht="21.75" customHeight="1" x14ac:dyDescent="0.25">
      <c r="A33" s="1"/>
      <c r="B33" s="37"/>
      <c r="C33" s="37"/>
      <c r="D33" s="37"/>
      <c r="E33" s="37"/>
      <c r="F33" s="37"/>
      <c r="G33" s="37"/>
      <c r="H33" s="37"/>
      <c r="I33" s="37"/>
      <c r="J33" s="37"/>
      <c r="K33" s="37"/>
      <c r="L33" s="37"/>
      <c r="M33" s="37"/>
      <c r="N33" s="37"/>
      <c r="O33" s="37"/>
      <c r="P33" s="37"/>
      <c r="Q33" s="37"/>
      <c r="R33" s="37"/>
      <c r="S33" s="9"/>
    </row>
    <row r="34" spans="1:313" s="1" customFormat="1" ht="21.75" customHeight="1" x14ac:dyDescent="0.25">
      <c r="B34" s="37"/>
      <c r="C34" s="37"/>
      <c r="D34" s="37"/>
      <c r="E34" s="37"/>
      <c r="F34" s="37"/>
      <c r="G34" s="37"/>
      <c r="H34" s="37"/>
      <c r="I34" s="37"/>
      <c r="J34" s="37"/>
      <c r="K34" s="37"/>
      <c r="L34" s="37"/>
      <c r="M34" s="37"/>
      <c r="N34" s="37"/>
      <c r="O34" s="37"/>
      <c r="P34" s="37"/>
      <c r="Q34" s="37"/>
      <c r="R34" s="37"/>
      <c r="S34" s="10"/>
    </row>
    <row r="35" spans="1:313" s="1" customFormat="1" ht="21.75" customHeight="1" x14ac:dyDescent="0.25">
      <c r="B35" s="37"/>
      <c r="C35" s="37"/>
      <c r="D35" s="37"/>
      <c r="E35" s="37"/>
      <c r="F35" s="37"/>
      <c r="G35" s="37"/>
      <c r="H35" s="37"/>
      <c r="I35" s="37"/>
      <c r="J35" s="37"/>
      <c r="K35" s="37"/>
      <c r="L35" s="37"/>
      <c r="M35" s="37"/>
      <c r="N35" s="37"/>
      <c r="O35" s="37"/>
      <c r="P35" s="42"/>
      <c r="Q35" s="37"/>
      <c r="R35" s="37"/>
      <c r="S35" s="10"/>
    </row>
    <row r="36" spans="1:313" s="1" customFormat="1" ht="22.5" hidden="1" customHeight="1" thickBot="1" x14ac:dyDescent="0.3">
      <c r="B36" s="38"/>
      <c r="C36" s="14"/>
      <c r="D36" s="14"/>
      <c r="E36" s="14"/>
      <c r="F36" s="14"/>
      <c r="G36" s="14"/>
      <c r="H36" s="14"/>
      <c r="I36" s="14"/>
      <c r="J36" s="10"/>
      <c r="K36" s="10"/>
      <c r="L36" s="10"/>
      <c r="M36" s="10"/>
      <c r="N36" s="10"/>
      <c r="O36" s="10"/>
      <c r="P36" s="10"/>
      <c r="Q36" s="10"/>
      <c r="R36" s="10"/>
      <c r="S36" s="10"/>
    </row>
    <row r="37" spans="1:313" ht="21.75" hidden="1" customHeight="1" x14ac:dyDescent="0.25">
      <c r="A37" s="5"/>
      <c r="B37" s="160" t="s">
        <v>50</v>
      </c>
      <c r="C37" s="161"/>
      <c r="D37" s="161"/>
      <c r="E37" s="161"/>
      <c r="F37" s="161"/>
      <c r="G37" s="161"/>
      <c r="H37" s="161"/>
      <c r="I37" s="161"/>
      <c r="J37" s="161"/>
      <c r="K37" s="161"/>
      <c r="L37" s="161"/>
      <c r="M37" s="161"/>
      <c r="N37" s="161"/>
      <c r="O37" s="161"/>
      <c r="P37" s="162"/>
      <c r="Q37" s="8"/>
      <c r="T37" s="178" t="s">
        <v>37</v>
      </c>
      <c r="U37" s="179"/>
      <c r="V37" s="180"/>
    </row>
    <row r="38" spans="1:313" ht="21.75" hidden="1" customHeight="1" thickBot="1" x14ac:dyDescent="0.3">
      <c r="B38" s="163"/>
      <c r="C38" s="164"/>
      <c r="D38" s="164"/>
      <c r="E38" s="164"/>
      <c r="F38" s="164"/>
      <c r="G38" s="164"/>
      <c r="H38" s="164"/>
      <c r="I38" s="164"/>
      <c r="J38" s="164"/>
      <c r="K38" s="164"/>
      <c r="L38" s="164"/>
      <c r="M38" s="164"/>
      <c r="N38" s="164"/>
      <c r="O38" s="164"/>
      <c r="P38" s="165"/>
      <c r="Q38" s="4"/>
      <c r="T38" s="181"/>
      <c r="U38" s="182"/>
      <c r="V38" s="183"/>
    </row>
    <row r="39" spans="1:313" s="18" customFormat="1" ht="21.75" hidden="1" customHeight="1" x14ac:dyDescent="0.25">
      <c r="B39" s="118" t="s">
        <v>14</v>
      </c>
      <c r="C39" s="119"/>
      <c r="D39" s="71" t="s">
        <v>21</v>
      </c>
      <c r="E39" s="71" t="s">
        <v>22</v>
      </c>
      <c r="F39" s="72" t="s">
        <v>23</v>
      </c>
      <c r="G39" s="72" t="s">
        <v>24</v>
      </c>
      <c r="H39" s="72" t="s">
        <v>25</v>
      </c>
      <c r="I39" s="72" t="s">
        <v>26</v>
      </c>
      <c r="J39" s="72" t="s">
        <v>27</v>
      </c>
      <c r="K39" s="72" t="s">
        <v>28</v>
      </c>
      <c r="L39" s="72" t="s">
        <v>29</v>
      </c>
      <c r="M39" s="72" t="s">
        <v>30</v>
      </c>
      <c r="N39" s="72" t="s">
        <v>31</v>
      </c>
      <c r="O39" s="72" t="s">
        <v>32</v>
      </c>
      <c r="P39" s="73" t="s">
        <v>33</v>
      </c>
      <c r="T39" s="189" t="s">
        <v>14</v>
      </c>
      <c r="U39" s="190"/>
      <c r="V39" s="87" t="s">
        <v>48</v>
      </c>
    </row>
    <row r="40" spans="1:313" ht="21.75" hidden="1" customHeight="1" x14ac:dyDescent="0.25">
      <c r="B40" s="110" t="str">
        <f>B9</f>
        <v>Washable Gowns</v>
      </c>
      <c r="C40" s="120"/>
      <c r="D40" s="74" t="str">
        <f>IF(F9="","", (D9*E9-(D9*F9)))</f>
        <v/>
      </c>
      <c r="E40" s="74" t="str">
        <f>IF(G9="","", ((D9*F9)-(D9*G9)))</f>
        <v/>
      </c>
      <c r="F40" s="74" t="str">
        <f>IF(H9="","", (D9*G9-(D9*H9)))</f>
        <v/>
      </c>
      <c r="G40" s="74" t="str">
        <f>IF(I9="","", (D9*H9-(D9*I9)))</f>
        <v/>
      </c>
      <c r="H40" s="74" t="str">
        <f>IF(J9="","", (D9*I9-(D9*J9)))</f>
        <v/>
      </c>
      <c r="I40" s="74" t="str">
        <f>IF(K9="","", (D9*J9-(D9*K9)))</f>
        <v/>
      </c>
      <c r="J40" s="74" t="str">
        <f>IF(L9="","", (D9*K9-(D9*L9)))</f>
        <v/>
      </c>
      <c r="K40" s="74" t="str">
        <f>IF(M9="","", (D9*L9-(D9*M9)))</f>
        <v/>
      </c>
      <c r="L40" s="74" t="str">
        <f>IF(N9="","", (D9*M9-(D9*N9)))</f>
        <v/>
      </c>
      <c r="M40" s="74" t="str">
        <f>IF(O9="","", (D9*N9-(D9*O9)))</f>
        <v/>
      </c>
      <c r="N40" s="74" t="str">
        <f>IF(P9="","", (D9*O9-(D9*P9)))</f>
        <v/>
      </c>
      <c r="O40" s="74" t="str">
        <f>IF(Q9="","", (D9*P9-(D9*Q9)))</f>
        <v/>
      </c>
      <c r="P40" s="75" t="str">
        <f>IF(R9="","", (D9*Q9-(D9*R9)))</f>
        <v/>
      </c>
      <c r="T40" s="173" t="str">
        <f>'Calculator Summary'!B5</f>
        <v>Washable Gowns</v>
      </c>
      <c r="U40" s="174"/>
      <c r="V40" s="82" t="str">
        <f>IF(SUM(D40:P40)&gt;0,AVERAGE(D40:P40),"")</f>
        <v/>
      </c>
    </row>
    <row r="41" spans="1:313" ht="21.75" hidden="1" customHeight="1" x14ac:dyDescent="0.25">
      <c r="B41" s="109" t="s">
        <v>49</v>
      </c>
      <c r="C41" s="76" t="str">
        <f>IF(C10="","",C10)</f>
        <v>small</v>
      </c>
      <c r="D41" s="74" t="str">
        <f>IF(F10="","",((D10*E10)/2)-((D10*F10)/2))</f>
        <v/>
      </c>
      <c r="E41" s="74" t="str">
        <f>IF(G10="","",((D10*F10)/2)-((D10*G10)/2))</f>
        <v/>
      </c>
      <c r="F41" s="74" t="str">
        <f>IF(H10="","",((D10*G10)/2)-((D10*H10)/2))</f>
        <v/>
      </c>
      <c r="G41" s="74" t="str">
        <f>IF(I10="","",((D10*H10)/2)-((D10*I10)/2))</f>
        <v/>
      </c>
      <c r="H41" s="74" t="str">
        <f>IF(J10="","",((D10*I10)/2)-((D10*J10)/2))</f>
        <v/>
      </c>
      <c r="I41" s="74" t="str">
        <f>IF(K10="","",((D10*J10)/2)-((D10*K10)/2))</f>
        <v/>
      </c>
      <c r="J41" s="74" t="str">
        <f>IF(L10="","",((D10*K10)/2)-((D10*L10)/2))</f>
        <v/>
      </c>
      <c r="K41" s="74" t="str">
        <f>IF(M10="","",((D10*L10)/2)-((D10*M10)/2))</f>
        <v/>
      </c>
      <c r="L41" s="74" t="str">
        <f>IF(N10="","",((D10*M10)/2)-((D10*N10)/2))</f>
        <v/>
      </c>
      <c r="M41" s="74" t="str">
        <f>IF(O10="","",((D10*N10)/2)-((D10*O10)/2))</f>
        <v/>
      </c>
      <c r="N41" s="74" t="str">
        <f>IF(P10="","",((D10*O10)/2)-((D10*P10)/2))</f>
        <v/>
      </c>
      <c r="O41" s="74" t="str">
        <f>IF(Q10="","",((D10*P10)/2)-((D10*Q10)/2))</f>
        <v/>
      </c>
      <c r="P41" s="75" t="str">
        <f>IF(R10="","",((D10*Q10)/2)-((D10*R10)/2))</f>
        <v/>
      </c>
      <c r="T41" s="191" t="s">
        <v>49</v>
      </c>
      <c r="U41" s="86" t="str">
        <f>'Calculator Summary'!C6</f>
        <v>small</v>
      </c>
      <c r="V41" s="82" t="str">
        <f t="shared" ref="V41" si="0">IF(SUM(D41:P41)&gt;0,AVERAGE(D41:P41),"")</f>
        <v/>
      </c>
    </row>
    <row r="42" spans="1:313" ht="21.75" hidden="1" customHeight="1" thickBot="1" x14ac:dyDescent="0.3">
      <c r="B42" s="110"/>
      <c r="C42" s="76" t="str">
        <f>IF(C11="","",C11)</f>
        <v>medium</v>
      </c>
      <c r="D42" s="74" t="str">
        <f t="shared" ref="D42" si="1">IF(F11="","",((D11*E11)/2)-((D11*F11)/2))</f>
        <v/>
      </c>
      <c r="E42" s="74" t="str">
        <f>IF(G11="","",((D11*F11)/2)-((D11*G11)/2))</f>
        <v/>
      </c>
      <c r="F42" s="74" t="str">
        <f>IF(H11="","",((D11*G11)/2)-((D11*H11)/2))</f>
        <v/>
      </c>
      <c r="G42" s="74" t="str">
        <f>IF(I11="","",((D11*H11)/2)-((D11*I11)/2))</f>
        <v/>
      </c>
      <c r="H42" s="74" t="str">
        <f>IF(J11="","",((D11*I11)/2)-((D11*J11)/2))</f>
        <v/>
      </c>
      <c r="I42" s="74" t="str">
        <f>IF(K11="","",((D11*J11)/2)-((D11*K11)/2))</f>
        <v/>
      </c>
      <c r="J42" s="74" t="str">
        <f>IF(L11="","",((D11*K11)/2)-((D11*L11)/2))</f>
        <v/>
      </c>
      <c r="K42" s="74" t="str">
        <f>IF(M11="","",((D11*L11)/2)-((D11*M11)/2))</f>
        <v/>
      </c>
      <c r="L42" s="74" t="str">
        <f>IF(N11="","",((D11*M11)/2)-((D11*N11)/2))</f>
        <v/>
      </c>
      <c r="M42" s="74" t="str">
        <f>IF(O11="","",((D11*N11)/2)-((D11*O11)/2))</f>
        <v/>
      </c>
      <c r="N42" s="74" t="str">
        <f>IF(P11="","",((D11*O11)/2)-((D11*P11)/2))</f>
        <v/>
      </c>
      <c r="O42" s="74" t="str">
        <f>IF(Q11="","",((D11*P11)/2)-((D11*Q11)/2))</f>
        <v/>
      </c>
      <c r="P42" s="75" t="str">
        <f>IF(R11="","",((D11*Q11)/2)-((D11*R11)/2))</f>
        <v/>
      </c>
      <c r="T42" s="173"/>
      <c r="U42" s="86" t="str">
        <f>'Calculator Summary'!C7</f>
        <v>medium</v>
      </c>
      <c r="V42" s="82" t="str">
        <f t="shared" ref="V42:V54" si="2">IF(SUM(D42:P42)&gt;0,AVERAGE(D42:P42),"")</f>
        <v/>
      </c>
    </row>
    <row r="43" spans="1:313" s="12" customFormat="1" ht="21.75" hidden="1" customHeight="1" thickBot="1" x14ac:dyDescent="0.3">
      <c r="A43" s="3"/>
      <c r="B43" s="110"/>
      <c r="C43" s="76" t="str">
        <f>IF(C12="","",C12)</f>
        <v>large</v>
      </c>
      <c r="D43" s="74" t="str">
        <f t="shared" ref="D43" si="3">IF(F12="","",((D12*E12)/2)-((D12*F12)/2))</f>
        <v/>
      </c>
      <c r="E43" s="74" t="str">
        <f>IF(G12="","",((D12*F12)/2)-((D12*G12)/2))</f>
        <v/>
      </c>
      <c r="F43" s="74" t="str">
        <f>IF(H12="","",((D12*G12)/2)-((D12*H12)/2))</f>
        <v/>
      </c>
      <c r="G43" s="74" t="str">
        <f>IF(I12="","",((D12*H12)/2)-((D12*I12)/2))</f>
        <v/>
      </c>
      <c r="H43" s="74" t="str">
        <f>IF(J12="","",((D12*I12)/2)-((D12*J12)/2))</f>
        <v/>
      </c>
      <c r="I43" s="74" t="str">
        <f>IF(K12="","",((D12*J12)/2)-((D12*K12)/2))</f>
        <v/>
      </c>
      <c r="J43" s="74" t="str">
        <f>IF(L12="","",((D12*K12)/2)-((D12*L12)/2))</f>
        <v/>
      </c>
      <c r="K43" s="74" t="str">
        <f>IF(M12="","",((D12*L12)/2)-((D12*M12)/2))</f>
        <v/>
      </c>
      <c r="L43" s="74" t="str">
        <f>IF(N12="","",((D12*M12)/2)-((D12*N12)/2))</f>
        <v/>
      </c>
      <c r="M43" s="74" t="str">
        <f>IF(O12="","",((D12*N12)/2)-((D12*O12)/2))</f>
        <v/>
      </c>
      <c r="N43" s="74" t="str">
        <f>IF(P12="","",((D12*O12)/2)-((D12*P12)/2))</f>
        <v/>
      </c>
      <c r="O43" s="74" t="str">
        <f>IF(Q12="","",((D12*P12)/2)-((D12*Q12)/2))</f>
        <v/>
      </c>
      <c r="P43" s="75" t="str">
        <f>IF(R12="","",((D12*Q12)/2)-((D12*R12)/2))</f>
        <v/>
      </c>
      <c r="Q43" s="1"/>
      <c r="R43" s="1"/>
      <c r="S43" s="1"/>
      <c r="T43" s="173"/>
      <c r="U43" s="86" t="str">
        <f>'Calculator Summary'!C8</f>
        <v>large</v>
      </c>
      <c r="V43" s="82" t="str">
        <f t="shared" si="2"/>
        <v/>
      </c>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c r="IT43" s="1"/>
      <c r="IU43" s="1"/>
      <c r="IV43" s="1"/>
      <c r="IW43" s="1"/>
      <c r="IX43" s="1"/>
      <c r="IY43" s="1"/>
      <c r="IZ43" s="1"/>
      <c r="JA43" s="1"/>
      <c r="JB43" s="1"/>
      <c r="JC43" s="1"/>
      <c r="JD43" s="1"/>
      <c r="JE43" s="1"/>
      <c r="JF43" s="1"/>
      <c r="JG43" s="1"/>
      <c r="JH43" s="1"/>
      <c r="JI43" s="1"/>
      <c r="JJ43" s="1"/>
      <c r="JK43" s="1"/>
      <c r="JL43" s="1"/>
      <c r="JM43" s="1"/>
      <c r="JN43" s="1"/>
      <c r="JO43" s="1"/>
      <c r="JP43" s="1"/>
      <c r="JQ43" s="1"/>
      <c r="JR43" s="1"/>
      <c r="JS43" s="1"/>
      <c r="JT43" s="1"/>
      <c r="JU43" s="1"/>
      <c r="JV43" s="1"/>
      <c r="JW43" s="1"/>
      <c r="JX43" s="1"/>
      <c r="JY43" s="1"/>
      <c r="JZ43" s="1"/>
      <c r="KA43" s="1"/>
      <c r="KB43" s="1"/>
      <c r="KC43" s="1"/>
      <c r="KD43" s="1"/>
      <c r="KE43" s="1"/>
      <c r="KF43" s="1"/>
      <c r="KG43" s="1"/>
      <c r="KH43" s="1"/>
      <c r="KI43" s="1"/>
      <c r="KJ43" s="1"/>
      <c r="KK43" s="1"/>
      <c r="KL43" s="1"/>
      <c r="KM43" s="1"/>
      <c r="KN43" s="1"/>
      <c r="KO43" s="1"/>
      <c r="KP43" s="1"/>
      <c r="KQ43" s="1"/>
      <c r="KR43" s="1"/>
      <c r="KS43" s="1"/>
      <c r="KT43" s="1"/>
      <c r="KU43" s="1"/>
      <c r="KV43" s="1"/>
      <c r="KW43" s="1"/>
      <c r="KX43" s="1"/>
      <c r="KY43" s="1"/>
      <c r="KZ43" s="1"/>
      <c r="LA43" s="1"/>
    </row>
    <row r="44" spans="1:313" ht="21.75" hidden="1" customHeight="1" x14ac:dyDescent="0.25">
      <c r="B44" s="110"/>
      <c r="C44" s="76" t="str">
        <f>IF(C13="","",C13)</f>
        <v>extra large</v>
      </c>
      <c r="D44" s="74" t="str">
        <f t="shared" ref="D44" si="4">IF(F13="","",((D13*E13)/2)-((D13*F13)/2))</f>
        <v/>
      </c>
      <c r="E44" s="74" t="str">
        <f>IF(G13="","",((D13*F13)/2)-((D13*G13)/2))</f>
        <v/>
      </c>
      <c r="F44" s="74" t="str">
        <f>IF(H13="","",((D13*G13)/2)-((D13*H13)/2))</f>
        <v/>
      </c>
      <c r="G44" s="74" t="str">
        <f>IF(I13="","",((D13*H13)/2)-((D13*I13)/2))</f>
        <v/>
      </c>
      <c r="H44" s="74" t="str">
        <f>IF(J13="","",((D13*I13)/2)-((D13*J13)/2))</f>
        <v/>
      </c>
      <c r="I44" s="74" t="str">
        <f>IF(K13="","",((D13*J13)/2)-((D13*K13)/2))</f>
        <v/>
      </c>
      <c r="J44" s="74" t="str">
        <f>IF(L13="","",((D13*K13)/2)-((D13*L13)/2))</f>
        <v/>
      </c>
      <c r="K44" s="74" t="str">
        <f>IF(M13="","",((D13*L13)/2)-((D13*M13)/2))</f>
        <v/>
      </c>
      <c r="L44" s="74" t="str">
        <f>IF(N13="","",((D13*M13)/2)-((D13*N13)/2))</f>
        <v/>
      </c>
      <c r="M44" s="74" t="str">
        <f>IF(O13="","",((D13*N13)/2)-((D13*O13)/2))</f>
        <v/>
      </c>
      <c r="N44" s="74" t="str">
        <f>IF(P13="","",((D13*O13)/2)-((D13*P13)/2))</f>
        <v/>
      </c>
      <c r="O44" s="74" t="str">
        <f>IF(Q13="","",((D13*P13)/2)-((D13*Q13)/2))</f>
        <v/>
      </c>
      <c r="P44" s="75" t="str">
        <f>IF(R13="","",((D13*Q13)/2)-((D13*R13)/2))</f>
        <v/>
      </c>
      <c r="T44" s="173"/>
      <c r="U44" s="86" t="str">
        <f>'Calculator Summary'!C9</f>
        <v>extra large</v>
      </c>
      <c r="V44" s="82" t="str">
        <f t="shared" si="2"/>
        <v/>
      </c>
    </row>
    <row r="45" spans="1:313" ht="21.75" hidden="1" customHeight="1" x14ac:dyDescent="0.25">
      <c r="B45" s="110" t="str">
        <f>B14</f>
        <v>N95 Masks</v>
      </c>
      <c r="C45" s="120"/>
      <c r="D45" s="74" t="str">
        <f>IF(F14="","", (D14*E14-(D14*F14)))</f>
        <v/>
      </c>
      <c r="E45" s="74" t="str">
        <f t="shared" ref="E45:E54" si="5">IF(G14="","", (D14*F14-(D14*G14)))</f>
        <v/>
      </c>
      <c r="F45" s="74" t="str">
        <f t="shared" ref="F45:F54" si="6">IF(H14="","", (D14*G14-(D14*H14)))</f>
        <v/>
      </c>
      <c r="G45" s="74" t="str">
        <f t="shared" ref="G45:G54" si="7">IF(I14="","", (D14*H14-(D14*I14)))</f>
        <v/>
      </c>
      <c r="H45" s="74" t="str">
        <f t="shared" ref="H45:H54" si="8">IF(J14="","", (D14*I14-(D14*J14)))</f>
        <v/>
      </c>
      <c r="I45" s="74" t="str">
        <f t="shared" ref="I45:I54" si="9">IF(K14="","", (D14*J14-(D14*K14)))</f>
        <v/>
      </c>
      <c r="J45" s="74" t="str">
        <f t="shared" ref="J45:J54" si="10">IF(L14="","", (D14*K14-(D14*L14)))</f>
        <v/>
      </c>
      <c r="K45" s="74" t="str">
        <f t="shared" ref="K45:K54" si="11">IF(M14="","", (D14*L14-(D14*M14)))</f>
        <v/>
      </c>
      <c r="L45" s="74" t="str">
        <f t="shared" ref="L45:L54" si="12">IF(N14="","", (D14*M14-(D14*N14)))</f>
        <v/>
      </c>
      <c r="M45" s="74" t="str">
        <f t="shared" ref="M45:M54" si="13">IF(O14="","", (D14*N14-(D14*O14)))</f>
        <v/>
      </c>
      <c r="N45" s="74" t="str">
        <f t="shared" ref="N45:N54" si="14">IF(P14="","", (D14*O14-(D14*P14)))</f>
        <v/>
      </c>
      <c r="O45" s="74" t="str">
        <f t="shared" ref="O45:O54" si="15">IF(Q14="","", (D14*P14-(D14*Q14)))</f>
        <v/>
      </c>
      <c r="P45" s="75" t="str">
        <f t="shared" ref="P45:P54" si="16">IF(R14="","", (D14*Q14-(D14*R14)))</f>
        <v/>
      </c>
      <c r="T45" s="173" t="str">
        <f>'Calculator Summary'!B10</f>
        <v>N95 Masks</v>
      </c>
      <c r="U45" s="174"/>
      <c r="V45" s="82" t="str">
        <f t="shared" si="2"/>
        <v/>
      </c>
    </row>
    <row r="46" spans="1:313" ht="21.75" hidden="1" customHeight="1" x14ac:dyDescent="0.25">
      <c r="B46" s="110" t="str">
        <f>B15</f>
        <v>Surgical Masks</v>
      </c>
      <c r="C46" s="120"/>
      <c r="D46" s="74" t="str">
        <f>IF(F15="","", (D15*E15-(D15*F15)))</f>
        <v/>
      </c>
      <c r="E46" s="74" t="str">
        <f t="shared" si="5"/>
        <v/>
      </c>
      <c r="F46" s="74" t="str">
        <f t="shared" si="6"/>
        <v/>
      </c>
      <c r="G46" s="74" t="str">
        <f t="shared" si="7"/>
        <v/>
      </c>
      <c r="H46" s="74" t="str">
        <f t="shared" si="8"/>
        <v/>
      </c>
      <c r="I46" s="74" t="str">
        <f t="shared" si="9"/>
        <v/>
      </c>
      <c r="J46" s="74" t="str">
        <f t="shared" si="10"/>
        <v/>
      </c>
      <c r="K46" s="74" t="str">
        <f t="shared" si="11"/>
        <v/>
      </c>
      <c r="L46" s="74" t="str">
        <f t="shared" si="12"/>
        <v/>
      </c>
      <c r="M46" s="74" t="str">
        <f t="shared" si="13"/>
        <v/>
      </c>
      <c r="N46" s="74" t="str">
        <f t="shared" si="14"/>
        <v/>
      </c>
      <c r="O46" s="74" t="str">
        <f t="shared" si="15"/>
        <v/>
      </c>
      <c r="P46" s="75" t="str">
        <f t="shared" si="16"/>
        <v/>
      </c>
      <c r="T46" s="173" t="str">
        <f>'Calculator Summary'!B11</f>
        <v>Surgical Masks</v>
      </c>
      <c r="U46" s="174"/>
      <c r="V46" s="82" t="str">
        <f t="shared" si="2"/>
        <v/>
      </c>
    </row>
    <row r="47" spans="1:313" ht="21.75" hidden="1" customHeight="1" x14ac:dyDescent="0.25">
      <c r="B47" s="110" t="str">
        <f>B16</f>
        <v>Respirators</v>
      </c>
      <c r="C47" s="120"/>
      <c r="D47" s="74" t="str">
        <f t="shared" ref="D47" si="17">IF(F16="","", (D16*E16-(D16*F16)))</f>
        <v/>
      </c>
      <c r="E47" s="74" t="str">
        <f t="shared" si="5"/>
        <v/>
      </c>
      <c r="F47" s="74" t="str">
        <f t="shared" si="6"/>
        <v/>
      </c>
      <c r="G47" s="74" t="str">
        <f t="shared" si="7"/>
        <v/>
      </c>
      <c r="H47" s="74" t="str">
        <f t="shared" si="8"/>
        <v/>
      </c>
      <c r="I47" s="74" t="str">
        <f t="shared" si="9"/>
        <v/>
      </c>
      <c r="J47" s="74" t="str">
        <f t="shared" si="10"/>
        <v/>
      </c>
      <c r="K47" s="74" t="str">
        <f t="shared" si="11"/>
        <v/>
      </c>
      <c r="L47" s="74" t="str">
        <f t="shared" si="12"/>
        <v/>
      </c>
      <c r="M47" s="74" t="str">
        <f t="shared" si="13"/>
        <v/>
      </c>
      <c r="N47" s="74" t="str">
        <f t="shared" si="14"/>
        <v/>
      </c>
      <c r="O47" s="74" t="str">
        <f t="shared" si="15"/>
        <v/>
      </c>
      <c r="P47" s="75" t="str">
        <f t="shared" si="16"/>
        <v/>
      </c>
      <c r="T47" s="173" t="str">
        <f>'Calculator Summary'!B12</f>
        <v>Respirators</v>
      </c>
      <c r="U47" s="174"/>
      <c r="V47" s="82" t="str">
        <f t="shared" si="2"/>
        <v/>
      </c>
    </row>
    <row r="48" spans="1:313" ht="21.75" hidden="1" customHeight="1" x14ac:dyDescent="0.25">
      <c r="B48" s="110" t="str">
        <f>B17</f>
        <v>Face Shields</v>
      </c>
      <c r="C48" s="120"/>
      <c r="D48" s="74" t="str">
        <f t="shared" ref="D48" si="18">IF(F17="","", (D17*E17-(D17*F17)))</f>
        <v/>
      </c>
      <c r="E48" s="74" t="str">
        <f t="shared" si="5"/>
        <v/>
      </c>
      <c r="F48" s="74" t="str">
        <f t="shared" si="6"/>
        <v/>
      </c>
      <c r="G48" s="74" t="str">
        <f t="shared" si="7"/>
        <v/>
      </c>
      <c r="H48" s="74" t="str">
        <f t="shared" si="8"/>
        <v/>
      </c>
      <c r="I48" s="74" t="str">
        <f t="shared" si="9"/>
        <v/>
      </c>
      <c r="J48" s="74" t="str">
        <f t="shared" si="10"/>
        <v/>
      </c>
      <c r="K48" s="74" t="str">
        <f t="shared" si="11"/>
        <v/>
      </c>
      <c r="L48" s="74" t="str">
        <f t="shared" si="12"/>
        <v/>
      </c>
      <c r="M48" s="74" t="str">
        <f t="shared" si="13"/>
        <v/>
      </c>
      <c r="N48" s="74" t="str">
        <f t="shared" si="14"/>
        <v/>
      </c>
      <c r="O48" s="74" t="str">
        <f t="shared" si="15"/>
        <v/>
      </c>
      <c r="P48" s="75" t="str">
        <f t="shared" si="16"/>
        <v/>
      </c>
      <c r="T48" s="173" t="str">
        <f>'Calculator Summary'!B13</f>
        <v>Face Shields</v>
      </c>
      <c r="U48" s="174"/>
      <c r="V48" s="82" t="str">
        <f t="shared" si="2"/>
        <v/>
      </c>
    </row>
    <row r="49" spans="1:23" ht="21.75" hidden="1" customHeight="1" x14ac:dyDescent="0.25">
      <c r="B49" s="110" t="str">
        <f>IF(B18="","",B18)</f>
        <v>Eye Protection - Goggles</v>
      </c>
      <c r="C49" s="120"/>
      <c r="D49" s="74" t="str">
        <f t="shared" ref="D49" si="19">IF(F18="","", (D18*E18-(D18*F18)))</f>
        <v/>
      </c>
      <c r="E49" s="74" t="str">
        <f t="shared" si="5"/>
        <v/>
      </c>
      <c r="F49" s="74" t="str">
        <f t="shared" si="6"/>
        <v/>
      </c>
      <c r="G49" s="74" t="str">
        <f t="shared" si="7"/>
        <v/>
      </c>
      <c r="H49" s="74" t="str">
        <f t="shared" si="8"/>
        <v/>
      </c>
      <c r="I49" s="74" t="str">
        <f t="shared" si="9"/>
        <v/>
      </c>
      <c r="J49" s="74" t="str">
        <f t="shared" si="10"/>
        <v/>
      </c>
      <c r="K49" s="74" t="str">
        <f t="shared" si="11"/>
        <v/>
      </c>
      <c r="L49" s="74" t="str">
        <f t="shared" si="12"/>
        <v/>
      </c>
      <c r="M49" s="74" t="str">
        <f t="shared" si="13"/>
        <v/>
      </c>
      <c r="N49" s="74" t="str">
        <f t="shared" si="14"/>
        <v/>
      </c>
      <c r="O49" s="74" t="str">
        <f t="shared" si="15"/>
        <v/>
      </c>
      <c r="P49" s="75" t="str">
        <f t="shared" si="16"/>
        <v/>
      </c>
      <c r="T49" s="173" t="str">
        <f>'Calculator Summary'!B14</f>
        <v>Eye Protection - Goggles</v>
      </c>
      <c r="U49" s="174"/>
      <c r="V49" s="82" t="str">
        <f t="shared" si="2"/>
        <v/>
      </c>
    </row>
    <row r="50" spans="1:23" ht="21.75" hidden="1" customHeight="1" x14ac:dyDescent="0.25">
      <c r="B50" s="110" t="str">
        <f>B19</f>
        <v>Disposable Gowns</v>
      </c>
      <c r="C50" s="120"/>
      <c r="D50" s="74" t="str">
        <f t="shared" ref="D50" si="20">IF(F19="","", (D19*E19-(D19*F19)))</f>
        <v/>
      </c>
      <c r="E50" s="74" t="str">
        <f t="shared" si="5"/>
        <v/>
      </c>
      <c r="F50" s="74" t="str">
        <f t="shared" si="6"/>
        <v/>
      </c>
      <c r="G50" s="74" t="str">
        <f t="shared" si="7"/>
        <v/>
      </c>
      <c r="H50" s="74" t="str">
        <f t="shared" si="8"/>
        <v/>
      </c>
      <c r="I50" s="74" t="str">
        <f t="shared" si="9"/>
        <v/>
      </c>
      <c r="J50" s="74" t="str">
        <f t="shared" si="10"/>
        <v/>
      </c>
      <c r="K50" s="74" t="str">
        <f t="shared" si="11"/>
        <v/>
      </c>
      <c r="L50" s="74" t="str">
        <f t="shared" si="12"/>
        <v/>
      </c>
      <c r="M50" s="74" t="str">
        <f t="shared" si="13"/>
        <v/>
      </c>
      <c r="N50" s="74" t="str">
        <f t="shared" si="14"/>
        <v/>
      </c>
      <c r="O50" s="74" t="str">
        <f t="shared" si="15"/>
        <v/>
      </c>
      <c r="P50" s="75" t="str">
        <f t="shared" si="16"/>
        <v/>
      </c>
      <c r="T50" s="173" t="str">
        <f>B50</f>
        <v>Disposable Gowns</v>
      </c>
      <c r="U50" s="174"/>
      <c r="V50" s="82" t="str">
        <f t="shared" si="2"/>
        <v/>
      </c>
    </row>
    <row r="51" spans="1:23" ht="21.75" hidden="1" customHeight="1" x14ac:dyDescent="0.25">
      <c r="B51" s="110" t="str">
        <f>B20</f>
        <v>Fluid Resistant Gowns</v>
      </c>
      <c r="C51" s="120"/>
      <c r="D51" s="74" t="str">
        <f t="shared" ref="D51" si="21">IF(F20="","", (D20*E20-(D20*F20)))</f>
        <v/>
      </c>
      <c r="E51" s="74" t="str">
        <f t="shared" si="5"/>
        <v/>
      </c>
      <c r="F51" s="74" t="str">
        <f t="shared" si="6"/>
        <v/>
      </c>
      <c r="G51" s="74" t="str">
        <f t="shared" si="7"/>
        <v/>
      </c>
      <c r="H51" s="74" t="str">
        <f t="shared" si="8"/>
        <v/>
      </c>
      <c r="I51" s="74" t="str">
        <f t="shared" si="9"/>
        <v/>
      </c>
      <c r="J51" s="74" t="str">
        <f t="shared" si="10"/>
        <v/>
      </c>
      <c r="K51" s="74" t="str">
        <f t="shared" si="11"/>
        <v/>
      </c>
      <c r="L51" s="74" t="str">
        <f t="shared" si="12"/>
        <v/>
      </c>
      <c r="M51" s="74" t="str">
        <f t="shared" si="13"/>
        <v/>
      </c>
      <c r="N51" s="74" t="str">
        <f t="shared" si="14"/>
        <v/>
      </c>
      <c r="O51" s="74" t="str">
        <f t="shared" si="15"/>
        <v/>
      </c>
      <c r="P51" s="75" t="str">
        <f t="shared" si="16"/>
        <v/>
      </c>
      <c r="T51" s="173" t="str">
        <f>B51</f>
        <v>Fluid Resistant Gowns</v>
      </c>
      <c r="U51" s="174"/>
      <c r="V51" s="82" t="str">
        <f t="shared" si="2"/>
        <v/>
      </c>
    </row>
    <row r="52" spans="1:23" ht="21.75" hidden="1" customHeight="1" x14ac:dyDescent="0.25">
      <c r="B52" s="110" t="str">
        <f>B21</f>
        <v>Other</v>
      </c>
      <c r="C52" s="120"/>
      <c r="D52" s="74" t="str">
        <f t="shared" ref="D52" si="22">IF(F21="","", (D21*E21-(D21*F21)))</f>
        <v/>
      </c>
      <c r="E52" s="74" t="str">
        <f t="shared" si="5"/>
        <v/>
      </c>
      <c r="F52" s="74" t="str">
        <f t="shared" si="6"/>
        <v/>
      </c>
      <c r="G52" s="74" t="str">
        <f t="shared" si="7"/>
        <v/>
      </c>
      <c r="H52" s="74" t="str">
        <f t="shared" si="8"/>
        <v/>
      </c>
      <c r="I52" s="74" t="str">
        <f t="shared" si="9"/>
        <v/>
      </c>
      <c r="J52" s="74" t="str">
        <f t="shared" si="10"/>
        <v/>
      </c>
      <c r="K52" s="74" t="str">
        <f t="shared" si="11"/>
        <v/>
      </c>
      <c r="L52" s="74" t="str">
        <f t="shared" si="12"/>
        <v/>
      </c>
      <c r="M52" s="74" t="str">
        <f t="shared" si="13"/>
        <v/>
      </c>
      <c r="N52" s="74" t="str">
        <f t="shared" si="14"/>
        <v/>
      </c>
      <c r="O52" s="74" t="str">
        <f t="shared" si="15"/>
        <v/>
      </c>
      <c r="P52" s="75" t="str">
        <f t="shared" si="16"/>
        <v/>
      </c>
      <c r="T52" s="173" t="str">
        <f>B52</f>
        <v>Other</v>
      </c>
      <c r="U52" s="174"/>
      <c r="V52" s="82" t="str">
        <f t="shared" si="2"/>
        <v/>
      </c>
    </row>
    <row r="53" spans="1:23" ht="21.75" hidden="1" customHeight="1" x14ac:dyDescent="0.25">
      <c r="B53" s="188" t="str">
        <f>B22</f>
        <v xml:space="preserve">Other </v>
      </c>
      <c r="C53" s="120"/>
      <c r="D53" s="74" t="str">
        <f t="shared" ref="D53" si="23">IF(F22="","", (D22*E22-(D22*F22)))</f>
        <v/>
      </c>
      <c r="E53" s="74" t="str">
        <f t="shared" si="5"/>
        <v/>
      </c>
      <c r="F53" s="74" t="str">
        <f t="shared" si="6"/>
        <v/>
      </c>
      <c r="G53" s="74" t="str">
        <f t="shared" si="7"/>
        <v/>
      </c>
      <c r="H53" s="74" t="str">
        <f t="shared" si="8"/>
        <v/>
      </c>
      <c r="I53" s="74" t="str">
        <f t="shared" si="9"/>
        <v/>
      </c>
      <c r="J53" s="74" t="str">
        <f t="shared" si="10"/>
        <v/>
      </c>
      <c r="K53" s="74" t="str">
        <f t="shared" si="11"/>
        <v/>
      </c>
      <c r="L53" s="74" t="str">
        <f t="shared" si="12"/>
        <v/>
      </c>
      <c r="M53" s="74" t="str">
        <f t="shared" si="13"/>
        <v/>
      </c>
      <c r="N53" s="74" t="str">
        <f t="shared" si="14"/>
        <v/>
      </c>
      <c r="O53" s="74" t="str">
        <f t="shared" si="15"/>
        <v/>
      </c>
      <c r="P53" s="75" t="str">
        <f t="shared" si="16"/>
        <v/>
      </c>
      <c r="T53" s="175" t="str">
        <f>B53</f>
        <v xml:space="preserve">Other </v>
      </c>
      <c r="U53" s="174"/>
      <c r="V53" s="82" t="str">
        <f t="shared" si="2"/>
        <v/>
      </c>
    </row>
    <row r="54" spans="1:23" ht="21.75" hidden="1" customHeight="1" thickBot="1" x14ac:dyDescent="0.3">
      <c r="B54" s="192" t="str">
        <f>B23</f>
        <v xml:space="preserve">Other </v>
      </c>
      <c r="C54" s="193"/>
      <c r="D54" s="77" t="str">
        <f t="shared" ref="D54" si="24">IF(F23="","", (D23*E23-(D23*F23)))</f>
        <v/>
      </c>
      <c r="E54" s="77" t="str">
        <f t="shared" si="5"/>
        <v/>
      </c>
      <c r="F54" s="77" t="str">
        <f t="shared" si="6"/>
        <v/>
      </c>
      <c r="G54" s="77" t="str">
        <f t="shared" si="7"/>
        <v/>
      </c>
      <c r="H54" s="77" t="str">
        <f t="shared" si="8"/>
        <v/>
      </c>
      <c r="I54" s="77" t="str">
        <f t="shared" si="9"/>
        <v/>
      </c>
      <c r="J54" s="77" t="str">
        <f t="shared" si="10"/>
        <v/>
      </c>
      <c r="K54" s="77" t="str">
        <f t="shared" si="11"/>
        <v/>
      </c>
      <c r="L54" s="77" t="str">
        <f t="shared" si="12"/>
        <v/>
      </c>
      <c r="M54" s="77" t="str">
        <f t="shared" si="13"/>
        <v/>
      </c>
      <c r="N54" s="77" t="str">
        <f t="shared" si="14"/>
        <v/>
      </c>
      <c r="O54" s="77" t="str">
        <f t="shared" si="15"/>
        <v/>
      </c>
      <c r="P54" s="78" t="str">
        <f t="shared" si="16"/>
        <v/>
      </c>
      <c r="T54" s="176" t="str">
        <f>B54</f>
        <v xml:space="preserve">Other </v>
      </c>
      <c r="U54" s="177"/>
      <c r="V54" s="84" t="str">
        <f t="shared" si="2"/>
        <v/>
      </c>
    </row>
    <row r="55" spans="1:23" ht="21.75" hidden="1" customHeight="1" thickBot="1" x14ac:dyDescent="0.3">
      <c r="A55" s="1"/>
      <c r="B55" s="14"/>
      <c r="C55" s="15"/>
      <c r="D55" s="15"/>
      <c r="E55" s="16"/>
      <c r="F55" s="13"/>
      <c r="G55" s="13"/>
      <c r="H55" s="13"/>
      <c r="I55" s="13"/>
      <c r="J55" s="13"/>
      <c r="K55" s="13"/>
      <c r="L55" s="13"/>
      <c r="M55" s="13"/>
      <c r="N55" s="13"/>
      <c r="O55" s="13"/>
      <c r="P55" s="13"/>
      <c r="Q55" s="13"/>
      <c r="R55" s="13"/>
      <c r="S55" s="4"/>
      <c r="U55" s="30"/>
      <c r="V55" s="30"/>
      <c r="W55" s="30"/>
    </row>
    <row r="56" spans="1:23" ht="21.75" hidden="1" customHeight="1" x14ac:dyDescent="0.25">
      <c r="B56" s="154" t="s">
        <v>51</v>
      </c>
      <c r="C56" s="155"/>
      <c r="D56" s="155"/>
      <c r="E56" s="155"/>
      <c r="F56" s="155"/>
      <c r="G56" s="155"/>
      <c r="H56" s="155"/>
      <c r="I56" s="155"/>
      <c r="J56" s="155"/>
      <c r="K56" s="155"/>
      <c r="L56" s="155"/>
      <c r="M56" s="155"/>
      <c r="N56" s="155"/>
      <c r="O56" s="155"/>
      <c r="P56" s="155"/>
      <c r="Q56" s="156"/>
      <c r="R56" s="4"/>
      <c r="T56" s="178" t="s">
        <v>38</v>
      </c>
      <c r="U56" s="179"/>
      <c r="V56" s="180"/>
    </row>
    <row r="57" spans="1:23" ht="21.75" hidden="1" customHeight="1" thickBot="1" x14ac:dyDescent="0.3">
      <c r="B57" s="157"/>
      <c r="C57" s="158"/>
      <c r="D57" s="158"/>
      <c r="E57" s="158"/>
      <c r="F57" s="158"/>
      <c r="G57" s="158"/>
      <c r="H57" s="158"/>
      <c r="I57" s="158"/>
      <c r="J57" s="158"/>
      <c r="K57" s="158"/>
      <c r="L57" s="158"/>
      <c r="M57" s="158"/>
      <c r="N57" s="158"/>
      <c r="O57" s="158"/>
      <c r="P57" s="158"/>
      <c r="Q57" s="159"/>
      <c r="R57" s="4"/>
      <c r="T57" s="181"/>
      <c r="U57" s="182"/>
      <c r="V57" s="183"/>
    </row>
    <row r="58" spans="1:23" s="18" customFormat="1" ht="21.75" hidden="1" customHeight="1" x14ac:dyDescent="0.25">
      <c r="B58" s="166" t="s">
        <v>14</v>
      </c>
      <c r="C58" s="167"/>
      <c r="D58" s="63" t="s">
        <v>0</v>
      </c>
      <c r="E58" s="63" t="s">
        <v>1</v>
      </c>
      <c r="F58" s="64" t="s">
        <v>2</v>
      </c>
      <c r="G58" s="64" t="s">
        <v>3</v>
      </c>
      <c r="H58" s="64" t="s">
        <v>4</v>
      </c>
      <c r="I58" s="64" t="s">
        <v>5</v>
      </c>
      <c r="J58" s="64" t="s">
        <v>34</v>
      </c>
      <c r="K58" s="64" t="s">
        <v>7</v>
      </c>
      <c r="L58" s="64" t="s">
        <v>8</v>
      </c>
      <c r="M58" s="64" t="s">
        <v>9</v>
      </c>
      <c r="N58" s="64" t="s">
        <v>10</v>
      </c>
      <c r="O58" s="64" t="s">
        <v>11</v>
      </c>
      <c r="P58" s="64" t="s">
        <v>12</v>
      </c>
      <c r="Q58" s="65" t="s">
        <v>13</v>
      </c>
      <c r="R58" s="19"/>
      <c r="T58" s="184" t="s">
        <v>14</v>
      </c>
      <c r="U58" s="185"/>
      <c r="V58" s="85" t="s">
        <v>48</v>
      </c>
    </row>
    <row r="59" spans="1:23" ht="21.75" hidden="1" customHeight="1" x14ac:dyDescent="0.25">
      <c r="B59" s="108" t="str">
        <f>B40</f>
        <v>Washable Gowns</v>
      </c>
      <c r="C59" s="140"/>
      <c r="D59" s="66" t="e">
        <f>IF((D9*E9)&lt;&gt;"",(D9*E9)/$V40,"")</f>
        <v>#VALUE!</v>
      </c>
      <c r="E59" s="66" t="e">
        <f>IF((D9*F9)&lt;&gt;"",(D9*F9)/$V40,"")</f>
        <v>#VALUE!</v>
      </c>
      <c r="F59" s="66" t="e">
        <f>IF((D9*G9)&lt;&gt;"",(D9*G9)/$V40,"")</f>
        <v>#VALUE!</v>
      </c>
      <c r="G59" s="66" t="e">
        <f>IF((D9*H9)&lt;&gt;"",(D9*H9)/$V40,"")</f>
        <v>#VALUE!</v>
      </c>
      <c r="H59" s="66" t="e">
        <f>IF((D9*I9)&lt;&gt;"",(D9*I9)/$V40,"")</f>
        <v>#VALUE!</v>
      </c>
      <c r="I59" s="66" t="e">
        <f>IF((D9*J9)&lt;&gt;"",(D9*J9)/$V40,"")</f>
        <v>#VALUE!</v>
      </c>
      <c r="J59" s="66" t="e">
        <f>IF((D9*K9)&lt;&gt;"",(D9*K9)/$V40,"")</f>
        <v>#VALUE!</v>
      </c>
      <c r="K59" s="66" t="e">
        <f>IF((D9*L9)&lt;&gt;"",(D9*L9)/$V40,"")</f>
        <v>#VALUE!</v>
      </c>
      <c r="L59" s="66" t="e">
        <f>IF((D9*M9)&lt;&gt;"",(D9*M9)/$V40,"")</f>
        <v>#VALUE!</v>
      </c>
      <c r="M59" s="66" t="e">
        <f>IF((D9*N9)&lt;&gt;"",(D9*N9)/$V40,"")</f>
        <v>#VALUE!</v>
      </c>
      <c r="N59" s="66" t="e">
        <f>IF((D9*O9)&lt;&gt;"",(D9*O9)/$V40,"")</f>
        <v>#VALUE!</v>
      </c>
      <c r="O59" s="66" t="e">
        <f>IF((D9*P9)&lt;&gt;"",(D9*P9)/$V40,"")</f>
        <v>#VALUE!</v>
      </c>
      <c r="P59" s="66" t="e">
        <f>IF((D9*Q9)&lt;&gt;"",(D9*Q9)/$V40,"")</f>
        <v>#VALUE!</v>
      </c>
      <c r="Q59" s="67" t="e">
        <f>IF((D9*R9)&lt;&gt;"",(D9*R9)/$V40,"")</f>
        <v>#VALUE!</v>
      </c>
      <c r="R59" s="4"/>
      <c r="T59" s="172" t="str">
        <f>'Calculator Summary'!B23</f>
        <v>Washable Gowns</v>
      </c>
      <c r="U59" s="169"/>
      <c r="V59" s="82" t="str">
        <f t="shared" ref="V59:V73" si="25">IF(SUM(D78:P78)&gt;0,AVERAGE(D78:P78),"")</f>
        <v/>
      </c>
    </row>
    <row r="60" spans="1:23" ht="21.75" hidden="1" customHeight="1" x14ac:dyDescent="0.25">
      <c r="B60" s="107" t="s">
        <v>49</v>
      </c>
      <c r="C60" s="68" t="str">
        <f>IF(C41="","",C41)</f>
        <v>small</v>
      </c>
      <c r="D60" s="66" t="e">
        <f>IF(((D10*E10)/2)&lt;&gt;"",((D10*E10)/2)/$V41,"")</f>
        <v>#VALUE!</v>
      </c>
      <c r="E60" s="66" t="e">
        <f>IF(((D10*F10)/2)&lt;&gt;"",((D10*F10)/2)/$V41,"")</f>
        <v>#VALUE!</v>
      </c>
      <c r="F60" s="66" t="e">
        <f>IF(((D10*G10)/2)&lt;&gt;"",((D10*G10)/2)/$V41,"")</f>
        <v>#VALUE!</v>
      </c>
      <c r="G60" s="66" t="e">
        <f>IF(((D10*H10)/2)&lt;&gt;"",((D10*H10)/2)/$V41,"")</f>
        <v>#VALUE!</v>
      </c>
      <c r="H60" s="66" t="e">
        <f>IF(((D10*I10)/2)&lt;&gt;"",((D10*I10)/2)/$V41,"")</f>
        <v>#VALUE!</v>
      </c>
      <c r="I60" s="66" t="e">
        <f>IF(((D10*J10)/2)&lt;&gt;"",((D10*J10)/2)/$V41,"")</f>
        <v>#VALUE!</v>
      </c>
      <c r="J60" s="66" t="e">
        <f>IF(((D10*K10)/2)&lt;&gt;"",((D10*K10)/2)/$V41,"")</f>
        <v>#VALUE!</v>
      </c>
      <c r="K60" s="66" t="e">
        <f>IF(((D10*L10)/2)&lt;&gt;"",((D10*L10)/2)/$V41,"")</f>
        <v>#VALUE!</v>
      </c>
      <c r="L60" s="66" t="e">
        <f>IF(((D10*M10)/2)&lt;&gt;"",((D10*M10)/2)/$V41,"")</f>
        <v>#VALUE!</v>
      </c>
      <c r="M60" s="66" t="e">
        <f>IF(((D10*N10)/2)&lt;&gt;"",((D10*N10)/2)/$V41,"")</f>
        <v>#VALUE!</v>
      </c>
      <c r="N60" s="66" t="e">
        <f>IF(((D10*O10)/2)&lt;&gt;"",((D10*O10)/2)/$V41,"")</f>
        <v>#VALUE!</v>
      </c>
      <c r="O60" s="66" t="e">
        <f>IF(((D10*P10)/2)&lt;&gt;"",((D10*P10)/2)/$V41,"")</f>
        <v>#VALUE!</v>
      </c>
      <c r="P60" s="66" t="e">
        <f>IF(((D10*Q10)/2)&lt;&gt;"",((D10*Q10)/2)/$V41,"")</f>
        <v>#VALUE!</v>
      </c>
      <c r="Q60" s="67" t="e">
        <f>IF(((D10*R10)/2)&lt;&gt;"",((D10*R10)/2)/$V41,"")</f>
        <v>#VALUE!</v>
      </c>
      <c r="R60" s="4"/>
      <c r="T60" s="186" t="s">
        <v>49</v>
      </c>
      <c r="U60" s="83" t="str">
        <f>'Calculator Summary'!C24</f>
        <v>small</v>
      </c>
      <c r="V60" s="82" t="str">
        <f t="shared" si="25"/>
        <v/>
      </c>
    </row>
    <row r="61" spans="1:23" ht="21.75" hidden="1" customHeight="1" x14ac:dyDescent="0.25">
      <c r="B61" s="108"/>
      <c r="C61" s="68" t="str">
        <f>IF(C42="","",C42)</f>
        <v>medium</v>
      </c>
      <c r="D61" s="66" t="e">
        <f t="shared" ref="D61:D63" si="26">IF(((D11*E11)/2)&lt;&gt;"",((D11*E11)/2)/$V42,"")</f>
        <v>#VALUE!</v>
      </c>
      <c r="E61" s="66" t="e">
        <f t="shared" ref="E61:E63" si="27">IF(((D11*F11)/2)&lt;&gt;"",((D11*F11)/2)/$V42,"")</f>
        <v>#VALUE!</v>
      </c>
      <c r="F61" s="66" t="e">
        <f t="shared" ref="F61:F63" si="28">IF(((D11*G11)/2)&lt;&gt;"",((D11*G11)/2)/$V42,"")</f>
        <v>#VALUE!</v>
      </c>
      <c r="G61" s="66" t="e">
        <f t="shared" ref="G61:G63" si="29">IF(((D11*H11)/2)&lt;&gt;"",((D11*H11)/2)/$V42,"")</f>
        <v>#VALUE!</v>
      </c>
      <c r="H61" s="66" t="e">
        <f t="shared" ref="H61:H63" si="30">IF(((D11*I11)/2)&lt;&gt;"",((D11*I11)/2)/$V42,"")</f>
        <v>#VALUE!</v>
      </c>
      <c r="I61" s="66" t="e">
        <f t="shared" ref="I61:I63" si="31">IF(((D11*J11)/2)&lt;&gt;"",((D11*J11)/2)/$V42,"")</f>
        <v>#VALUE!</v>
      </c>
      <c r="J61" s="66" t="e">
        <f t="shared" ref="J61:J63" si="32">IF(((D11*K11)/2)&lt;&gt;"",((D11*K11)/2)/$V42,"")</f>
        <v>#VALUE!</v>
      </c>
      <c r="K61" s="66" t="e">
        <f t="shared" ref="K61:K63" si="33">IF(((D11*L11)/2)&lt;&gt;"",((D11*L11)/2)/$V42,"")</f>
        <v>#VALUE!</v>
      </c>
      <c r="L61" s="66" t="e">
        <f t="shared" ref="L61:L63" si="34">IF(((D11*M11)/2)&lt;&gt;"",((D11*M11)/2)/$V42,"")</f>
        <v>#VALUE!</v>
      </c>
      <c r="M61" s="66" t="e">
        <f t="shared" ref="M61:M63" si="35">IF(((D11*N11)/2)&lt;&gt;"",((D11*N11)/2)/$V42,"")</f>
        <v>#VALUE!</v>
      </c>
      <c r="N61" s="66" t="e">
        <f t="shared" ref="N61:N63" si="36">IF(((D11*O11)/2)&lt;&gt;"",((D11*O11)/2)/$V42,"")</f>
        <v>#VALUE!</v>
      </c>
      <c r="O61" s="66" t="e">
        <f t="shared" ref="O61:O63" si="37">IF(((D11*P11)/2)&lt;&gt;"",((D11*P11)/2)/$V42,"")</f>
        <v>#VALUE!</v>
      </c>
      <c r="P61" s="66" t="e">
        <f t="shared" ref="P61:P63" si="38">IF(((D11*Q11)/2)&lt;&gt;"",((D11*Q11)/2)/$V42,"")</f>
        <v>#VALUE!</v>
      </c>
      <c r="Q61" s="67" t="e">
        <f t="shared" ref="Q61:Q63" si="39">IF(((D11*R11)/2)&lt;&gt;"",((D11*R11)/2)/$V42,"")</f>
        <v>#VALUE!</v>
      </c>
      <c r="R61" s="4"/>
      <c r="T61" s="172"/>
      <c r="U61" s="83" t="str">
        <f>'Calculator Summary'!C25</f>
        <v>medium</v>
      </c>
      <c r="V61" s="82" t="str">
        <f t="shared" si="25"/>
        <v/>
      </c>
    </row>
    <row r="62" spans="1:23" s="1" customFormat="1" ht="21.75" hidden="1" customHeight="1" x14ac:dyDescent="0.25">
      <c r="A62" s="3"/>
      <c r="B62" s="108"/>
      <c r="C62" s="68" t="str">
        <f>IF(C43="","",C43)</f>
        <v>large</v>
      </c>
      <c r="D62" s="66" t="e">
        <f t="shared" si="26"/>
        <v>#VALUE!</v>
      </c>
      <c r="E62" s="66" t="e">
        <f t="shared" si="27"/>
        <v>#VALUE!</v>
      </c>
      <c r="F62" s="66" t="e">
        <f t="shared" si="28"/>
        <v>#VALUE!</v>
      </c>
      <c r="G62" s="66" t="e">
        <f t="shared" si="29"/>
        <v>#VALUE!</v>
      </c>
      <c r="H62" s="66" t="e">
        <f t="shared" si="30"/>
        <v>#VALUE!</v>
      </c>
      <c r="I62" s="66" t="e">
        <f t="shared" si="31"/>
        <v>#VALUE!</v>
      </c>
      <c r="J62" s="66" t="e">
        <f t="shared" si="32"/>
        <v>#VALUE!</v>
      </c>
      <c r="K62" s="66" t="e">
        <f t="shared" si="33"/>
        <v>#VALUE!</v>
      </c>
      <c r="L62" s="66" t="e">
        <f t="shared" si="34"/>
        <v>#VALUE!</v>
      </c>
      <c r="M62" s="66" t="e">
        <f t="shared" si="35"/>
        <v>#VALUE!</v>
      </c>
      <c r="N62" s="66" t="e">
        <f t="shared" si="36"/>
        <v>#VALUE!</v>
      </c>
      <c r="O62" s="66" t="e">
        <f t="shared" si="37"/>
        <v>#VALUE!</v>
      </c>
      <c r="P62" s="66" t="e">
        <f t="shared" si="38"/>
        <v>#VALUE!</v>
      </c>
      <c r="Q62" s="67" t="e">
        <f t="shared" si="39"/>
        <v>#VALUE!</v>
      </c>
      <c r="R62" s="10"/>
      <c r="T62" s="172"/>
      <c r="U62" s="83" t="str">
        <f>'Calculator Summary'!C26</f>
        <v>large</v>
      </c>
      <c r="V62" s="82" t="str">
        <f t="shared" si="25"/>
        <v/>
      </c>
    </row>
    <row r="63" spans="1:23" ht="21.75" hidden="1" customHeight="1" x14ac:dyDescent="0.25">
      <c r="B63" s="108"/>
      <c r="C63" s="68" t="str">
        <f>IF(C44="","",C44)</f>
        <v>extra large</v>
      </c>
      <c r="D63" s="66" t="e">
        <f t="shared" si="26"/>
        <v>#VALUE!</v>
      </c>
      <c r="E63" s="66" t="e">
        <f t="shared" si="27"/>
        <v>#VALUE!</v>
      </c>
      <c r="F63" s="66" t="e">
        <f t="shared" si="28"/>
        <v>#VALUE!</v>
      </c>
      <c r="G63" s="66" t="e">
        <f t="shared" si="29"/>
        <v>#VALUE!</v>
      </c>
      <c r="H63" s="66" t="e">
        <f t="shared" si="30"/>
        <v>#VALUE!</v>
      </c>
      <c r="I63" s="66" t="e">
        <f t="shared" si="31"/>
        <v>#VALUE!</v>
      </c>
      <c r="J63" s="66" t="e">
        <f t="shared" si="32"/>
        <v>#VALUE!</v>
      </c>
      <c r="K63" s="66" t="e">
        <f t="shared" si="33"/>
        <v>#VALUE!</v>
      </c>
      <c r="L63" s="66" t="e">
        <f t="shared" si="34"/>
        <v>#VALUE!</v>
      </c>
      <c r="M63" s="66" t="e">
        <f t="shared" si="35"/>
        <v>#VALUE!</v>
      </c>
      <c r="N63" s="66" t="e">
        <f t="shared" si="36"/>
        <v>#VALUE!</v>
      </c>
      <c r="O63" s="66" t="e">
        <f t="shared" si="37"/>
        <v>#VALUE!</v>
      </c>
      <c r="P63" s="66" t="e">
        <f t="shared" si="38"/>
        <v>#VALUE!</v>
      </c>
      <c r="Q63" s="67" t="e">
        <f t="shared" si="39"/>
        <v>#VALUE!</v>
      </c>
      <c r="R63" s="4"/>
      <c r="T63" s="172"/>
      <c r="U63" s="83" t="str">
        <f>'Calculator Summary'!C27</f>
        <v>extra large</v>
      </c>
      <c r="V63" s="82" t="str">
        <f t="shared" si="25"/>
        <v/>
      </c>
    </row>
    <row r="64" spans="1:23" ht="21.75" hidden="1" customHeight="1" x14ac:dyDescent="0.25">
      <c r="B64" s="108" t="str">
        <f>B45</f>
        <v>N95 Masks</v>
      </c>
      <c r="C64" s="140"/>
      <c r="D64" s="66" t="e">
        <f t="shared" ref="D64:D73" si="40">IF((D14*E14)&lt;&gt;"",(D14*E14)/$V45,"")</f>
        <v>#VALUE!</v>
      </c>
      <c r="E64" s="66" t="e">
        <f t="shared" ref="E64:E73" si="41">IF((D14*F14)&lt;&gt;"",(D14*F14)/$V45,"")</f>
        <v>#VALUE!</v>
      </c>
      <c r="F64" s="66" t="e">
        <f t="shared" ref="F64:F73" si="42">IF((D14*G14)&lt;&gt;"",(D14*G14)/$V45,"")</f>
        <v>#VALUE!</v>
      </c>
      <c r="G64" s="66" t="e">
        <f t="shared" ref="G64:G73" si="43">IF((D14*H14)&lt;&gt;"",(D14*H14)/$V45,"")</f>
        <v>#VALUE!</v>
      </c>
      <c r="H64" s="66" t="e">
        <f t="shared" ref="H64:H73" si="44">IF((D14*I14)&lt;&gt;"",(D14*I14)/$V45,"")</f>
        <v>#VALUE!</v>
      </c>
      <c r="I64" s="66" t="e">
        <f t="shared" ref="I64:I73" si="45">IF((D14*J14)&lt;&gt;"",(D14*J14)/$V45,"")</f>
        <v>#VALUE!</v>
      </c>
      <c r="J64" s="66" t="e">
        <f t="shared" ref="J64:J73" si="46">IF((D14*K14)&lt;&gt;"",(D14*K14)/$V45,"")</f>
        <v>#VALUE!</v>
      </c>
      <c r="K64" s="66" t="e">
        <f t="shared" ref="K64:K73" si="47">IF((D14*L14)&lt;&gt;"",(D14*L14)/$V45,"")</f>
        <v>#VALUE!</v>
      </c>
      <c r="L64" s="66" t="e">
        <f t="shared" ref="L64:L73" si="48">IF((D14*M14)&lt;&gt;"",(D14*M14)/$V45,"")</f>
        <v>#VALUE!</v>
      </c>
      <c r="M64" s="66" t="e">
        <f t="shared" ref="M64:M73" si="49">IF((D14*N14)&lt;&gt;"",(D14*N14)/$V45,"")</f>
        <v>#VALUE!</v>
      </c>
      <c r="N64" s="66" t="e">
        <f t="shared" ref="N64:N73" si="50">IF((D14*O14)&lt;&gt;"",(D14*O14)/$V45,"")</f>
        <v>#VALUE!</v>
      </c>
      <c r="O64" s="66" t="e">
        <f t="shared" ref="O64:O73" si="51">IF((D14*P14)&lt;&gt;"",(D14*P14)/$V45,"")</f>
        <v>#VALUE!</v>
      </c>
      <c r="P64" s="66" t="e">
        <f t="shared" ref="P64:P73" si="52">IF((D14*Q14)&lt;&gt;"",(D14*Q14)/$V45,"")</f>
        <v>#VALUE!</v>
      </c>
      <c r="Q64" s="67" t="e">
        <f t="shared" ref="Q64:Q73" si="53">IF((D14*R14)&lt;&gt;"",(D14*R14)/$V45,"")</f>
        <v>#VALUE!</v>
      </c>
      <c r="R64" s="4"/>
      <c r="T64" s="172" t="str">
        <f>'Calculator Summary'!B28</f>
        <v>N95 Masks</v>
      </c>
      <c r="U64" s="169"/>
      <c r="V64" s="82" t="str">
        <f t="shared" si="25"/>
        <v/>
      </c>
    </row>
    <row r="65" spans="1:22" ht="21.75" hidden="1" customHeight="1" x14ac:dyDescent="0.25">
      <c r="B65" s="108" t="str">
        <f>B46</f>
        <v>Surgical Masks</v>
      </c>
      <c r="C65" s="140"/>
      <c r="D65" s="66" t="e">
        <f t="shared" si="40"/>
        <v>#VALUE!</v>
      </c>
      <c r="E65" s="66" t="e">
        <f t="shared" si="41"/>
        <v>#VALUE!</v>
      </c>
      <c r="F65" s="66" t="e">
        <f t="shared" si="42"/>
        <v>#VALUE!</v>
      </c>
      <c r="G65" s="66" t="e">
        <f t="shared" si="43"/>
        <v>#VALUE!</v>
      </c>
      <c r="H65" s="66" t="e">
        <f t="shared" si="44"/>
        <v>#VALUE!</v>
      </c>
      <c r="I65" s="66" t="e">
        <f t="shared" si="45"/>
        <v>#VALUE!</v>
      </c>
      <c r="J65" s="66" t="e">
        <f t="shared" si="46"/>
        <v>#VALUE!</v>
      </c>
      <c r="K65" s="66" t="e">
        <f t="shared" si="47"/>
        <v>#VALUE!</v>
      </c>
      <c r="L65" s="66" t="e">
        <f t="shared" si="48"/>
        <v>#VALUE!</v>
      </c>
      <c r="M65" s="66" t="e">
        <f t="shared" si="49"/>
        <v>#VALUE!</v>
      </c>
      <c r="N65" s="66" t="e">
        <f t="shared" si="50"/>
        <v>#VALUE!</v>
      </c>
      <c r="O65" s="66" t="e">
        <f t="shared" si="51"/>
        <v>#VALUE!</v>
      </c>
      <c r="P65" s="66" t="e">
        <f t="shared" si="52"/>
        <v>#VALUE!</v>
      </c>
      <c r="Q65" s="67" t="e">
        <f t="shared" si="53"/>
        <v>#VALUE!</v>
      </c>
      <c r="R65" s="4"/>
      <c r="T65" s="172" t="str">
        <f>'Calculator Summary'!B29</f>
        <v>Surgical Masks</v>
      </c>
      <c r="U65" s="169"/>
      <c r="V65" s="82" t="str">
        <f t="shared" si="25"/>
        <v/>
      </c>
    </row>
    <row r="66" spans="1:22" ht="21.75" hidden="1" customHeight="1" x14ac:dyDescent="0.25">
      <c r="B66" s="108" t="str">
        <f>B47</f>
        <v>Respirators</v>
      </c>
      <c r="C66" s="140"/>
      <c r="D66" s="66" t="e">
        <f t="shared" si="40"/>
        <v>#VALUE!</v>
      </c>
      <c r="E66" s="66" t="e">
        <f t="shared" si="41"/>
        <v>#VALUE!</v>
      </c>
      <c r="F66" s="66" t="e">
        <f t="shared" si="42"/>
        <v>#VALUE!</v>
      </c>
      <c r="G66" s="66" t="e">
        <f t="shared" si="43"/>
        <v>#VALUE!</v>
      </c>
      <c r="H66" s="66" t="e">
        <f t="shared" si="44"/>
        <v>#VALUE!</v>
      </c>
      <c r="I66" s="66" t="e">
        <f t="shared" si="45"/>
        <v>#VALUE!</v>
      </c>
      <c r="J66" s="66" t="e">
        <f t="shared" si="46"/>
        <v>#VALUE!</v>
      </c>
      <c r="K66" s="66" t="e">
        <f t="shared" si="47"/>
        <v>#VALUE!</v>
      </c>
      <c r="L66" s="66" t="e">
        <f t="shared" si="48"/>
        <v>#VALUE!</v>
      </c>
      <c r="M66" s="66" t="e">
        <f t="shared" si="49"/>
        <v>#VALUE!</v>
      </c>
      <c r="N66" s="66" t="e">
        <f t="shared" si="50"/>
        <v>#VALUE!</v>
      </c>
      <c r="O66" s="66" t="e">
        <f t="shared" si="51"/>
        <v>#VALUE!</v>
      </c>
      <c r="P66" s="66" t="e">
        <f t="shared" si="52"/>
        <v>#VALUE!</v>
      </c>
      <c r="Q66" s="67" t="e">
        <f t="shared" si="53"/>
        <v>#VALUE!</v>
      </c>
      <c r="R66" s="4"/>
      <c r="T66" s="172" t="str">
        <f>'Calculator Summary'!B30</f>
        <v>Respirators</v>
      </c>
      <c r="U66" s="169"/>
      <c r="V66" s="82" t="str">
        <f t="shared" si="25"/>
        <v/>
      </c>
    </row>
    <row r="67" spans="1:22" ht="21.75" hidden="1" customHeight="1" x14ac:dyDescent="0.25">
      <c r="B67" s="108" t="str">
        <f>B48</f>
        <v>Face Shields</v>
      </c>
      <c r="C67" s="140"/>
      <c r="D67" s="66" t="e">
        <f t="shared" si="40"/>
        <v>#VALUE!</v>
      </c>
      <c r="E67" s="66" t="e">
        <f t="shared" si="41"/>
        <v>#VALUE!</v>
      </c>
      <c r="F67" s="66" t="e">
        <f t="shared" si="42"/>
        <v>#VALUE!</v>
      </c>
      <c r="G67" s="66" t="e">
        <f t="shared" si="43"/>
        <v>#VALUE!</v>
      </c>
      <c r="H67" s="66" t="e">
        <f t="shared" si="44"/>
        <v>#VALUE!</v>
      </c>
      <c r="I67" s="66" t="e">
        <f t="shared" si="45"/>
        <v>#VALUE!</v>
      </c>
      <c r="J67" s="66" t="e">
        <f t="shared" si="46"/>
        <v>#VALUE!</v>
      </c>
      <c r="K67" s="66" t="e">
        <f t="shared" si="47"/>
        <v>#VALUE!</v>
      </c>
      <c r="L67" s="66" t="e">
        <f t="shared" si="48"/>
        <v>#VALUE!</v>
      </c>
      <c r="M67" s="66" t="e">
        <f t="shared" si="49"/>
        <v>#VALUE!</v>
      </c>
      <c r="N67" s="66" t="e">
        <f t="shared" si="50"/>
        <v>#VALUE!</v>
      </c>
      <c r="O67" s="66" t="e">
        <f t="shared" si="51"/>
        <v>#VALUE!</v>
      </c>
      <c r="P67" s="66" t="e">
        <f t="shared" si="52"/>
        <v>#VALUE!</v>
      </c>
      <c r="Q67" s="67" t="e">
        <f t="shared" si="53"/>
        <v>#VALUE!</v>
      </c>
      <c r="R67" s="4"/>
      <c r="T67" s="172" t="str">
        <f>'Calculator Summary'!B31</f>
        <v>Face Shields</v>
      </c>
      <c r="U67" s="169"/>
      <c r="V67" s="82" t="str">
        <f t="shared" si="25"/>
        <v/>
      </c>
    </row>
    <row r="68" spans="1:22" ht="21.75" hidden="1" customHeight="1" x14ac:dyDescent="0.25">
      <c r="B68" s="108" t="str">
        <f>IF(B49="","",B49)</f>
        <v>Eye Protection - Goggles</v>
      </c>
      <c r="C68" s="140"/>
      <c r="D68" s="66" t="e">
        <f t="shared" si="40"/>
        <v>#VALUE!</v>
      </c>
      <c r="E68" s="66" t="e">
        <f t="shared" si="41"/>
        <v>#VALUE!</v>
      </c>
      <c r="F68" s="66" t="e">
        <f t="shared" si="42"/>
        <v>#VALUE!</v>
      </c>
      <c r="G68" s="66" t="e">
        <f t="shared" si="43"/>
        <v>#VALUE!</v>
      </c>
      <c r="H68" s="66" t="e">
        <f t="shared" si="44"/>
        <v>#VALUE!</v>
      </c>
      <c r="I68" s="66" t="e">
        <f t="shared" si="45"/>
        <v>#VALUE!</v>
      </c>
      <c r="J68" s="66" t="e">
        <f t="shared" si="46"/>
        <v>#VALUE!</v>
      </c>
      <c r="K68" s="66" t="e">
        <f t="shared" si="47"/>
        <v>#VALUE!</v>
      </c>
      <c r="L68" s="66" t="e">
        <f t="shared" si="48"/>
        <v>#VALUE!</v>
      </c>
      <c r="M68" s="66" t="e">
        <f t="shared" si="49"/>
        <v>#VALUE!</v>
      </c>
      <c r="N68" s="66" t="e">
        <f t="shared" si="50"/>
        <v>#VALUE!</v>
      </c>
      <c r="O68" s="66" t="e">
        <f t="shared" si="51"/>
        <v>#VALUE!</v>
      </c>
      <c r="P68" s="66" t="e">
        <f t="shared" si="52"/>
        <v>#VALUE!</v>
      </c>
      <c r="Q68" s="67" t="e">
        <f t="shared" si="53"/>
        <v>#VALUE!</v>
      </c>
      <c r="R68" s="4"/>
      <c r="T68" s="172" t="str">
        <f>'Calculator Summary'!B32</f>
        <v>Eye Protection - Goggles</v>
      </c>
      <c r="U68" s="169"/>
      <c r="V68" s="82" t="str">
        <f t="shared" si="25"/>
        <v/>
      </c>
    </row>
    <row r="69" spans="1:22" ht="21.75" hidden="1" customHeight="1" x14ac:dyDescent="0.25">
      <c r="B69" s="108" t="str">
        <f>B50</f>
        <v>Disposable Gowns</v>
      </c>
      <c r="C69" s="140"/>
      <c r="D69" s="66" t="e">
        <f t="shared" si="40"/>
        <v>#VALUE!</v>
      </c>
      <c r="E69" s="66" t="e">
        <f t="shared" si="41"/>
        <v>#VALUE!</v>
      </c>
      <c r="F69" s="66" t="e">
        <f t="shared" si="42"/>
        <v>#VALUE!</v>
      </c>
      <c r="G69" s="66" t="e">
        <f t="shared" si="43"/>
        <v>#VALUE!</v>
      </c>
      <c r="H69" s="66" t="e">
        <f t="shared" si="44"/>
        <v>#VALUE!</v>
      </c>
      <c r="I69" s="66" t="e">
        <f t="shared" si="45"/>
        <v>#VALUE!</v>
      </c>
      <c r="J69" s="66" t="e">
        <f t="shared" si="46"/>
        <v>#VALUE!</v>
      </c>
      <c r="K69" s="66" t="e">
        <f t="shared" si="47"/>
        <v>#VALUE!</v>
      </c>
      <c r="L69" s="66" t="e">
        <f t="shared" si="48"/>
        <v>#VALUE!</v>
      </c>
      <c r="M69" s="66" t="e">
        <f t="shared" si="49"/>
        <v>#VALUE!</v>
      </c>
      <c r="N69" s="66" t="e">
        <f t="shared" si="50"/>
        <v>#VALUE!</v>
      </c>
      <c r="O69" s="66" t="e">
        <f t="shared" si="51"/>
        <v>#VALUE!</v>
      </c>
      <c r="P69" s="66" t="e">
        <f t="shared" si="52"/>
        <v>#VALUE!</v>
      </c>
      <c r="Q69" s="67" t="e">
        <f t="shared" si="53"/>
        <v>#VALUE!</v>
      </c>
      <c r="R69" s="4"/>
      <c r="T69" s="172" t="str">
        <f>B50</f>
        <v>Disposable Gowns</v>
      </c>
      <c r="U69" s="169"/>
      <c r="V69" s="82" t="str">
        <f t="shared" si="25"/>
        <v/>
      </c>
    </row>
    <row r="70" spans="1:22" ht="21.75" hidden="1" customHeight="1" x14ac:dyDescent="0.25">
      <c r="B70" s="108" t="str">
        <f>B51</f>
        <v>Fluid Resistant Gowns</v>
      </c>
      <c r="C70" s="140"/>
      <c r="D70" s="66" t="e">
        <f t="shared" si="40"/>
        <v>#VALUE!</v>
      </c>
      <c r="E70" s="66" t="e">
        <f t="shared" si="41"/>
        <v>#VALUE!</v>
      </c>
      <c r="F70" s="66" t="e">
        <f t="shared" si="42"/>
        <v>#VALUE!</v>
      </c>
      <c r="G70" s="66" t="e">
        <f t="shared" si="43"/>
        <v>#VALUE!</v>
      </c>
      <c r="H70" s="66" t="e">
        <f t="shared" si="44"/>
        <v>#VALUE!</v>
      </c>
      <c r="I70" s="66" t="e">
        <f t="shared" si="45"/>
        <v>#VALUE!</v>
      </c>
      <c r="J70" s="66" t="e">
        <f t="shared" si="46"/>
        <v>#VALUE!</v>
      </c>
      <c r="K70" s="66" t="e">
        <f t="shared" si="47"/>
        <v>#VALUE!</v>
      </c>
      <c r="L70" s="66" t="e">
        <f t="shared" si="48"/>
        <v>#VALUE!</v>
      </c>
      <c r="M70" s="66" t="e">
        <f t="shared" si="49"/>
        <v>#VALUE!</v>
      </c>
      <c r="N70" s="66" t="e">
        <f t="shared" si="50"/>
        <v>#VALUE!</v>
      </c>
      <c r="O70" s="66" t="e">
        <f t="shared" si="51"/>
        <v>#VALUE!</v>
      </c>
      <c r="P70" s="66" t="e">
        <f t="shared" si="52"/>
        <v>#VALUE!</v>
      </c>
      <c r="Q70" s="67" t="e">
        <f t="shared" si="53"/>
        <v>#VALUE!</v>
      </c>
      <c r="R70" s="4"/>
      <c r="T70" s="172" t="str">
        <f>B51</f>
        <v>Fluid Resistant Gowns</v>
      </c>
      <c r="U70" s="169"/>
      <c r="V70" s="82" t="str">
        <f t="shared" si="25"/>
        <v/>
      </c>
    </row>
    <row r="71" spans="1:22" ht="21.75" hidden="1" customHeight="1" x14ac:dyDescent="0.25">
      <c r="B71" s="108" t="str">
        <f>B52</f>
        <v>Other</v>
      </c>
      <c r="C71" s="140"/>
      <c r="D71" s="66" t="e">
        <f t="shared" si="40"/>
        <v>#VALUE!</v>
      </c>
      <c r="E71" s="66" t="e">
        <f t="shared" si="41"/>
        <v>#VALUE!</v>
      </c>
      <c r="F71" s="66" t="e">
        <f t="shared" si="42"/>
        <v>#VALUE!</v>
      </c>
      <c r="G71" s="66" t="e">
        <f t="shared" si="43"/>
        <v>#VALUE!</v>
      </c>
      <c r="H71" s="66" t="e">
        <f t="shared" si="44"/>
        <v>#VALUE!</v>
      </c>
      <c r="I71" s="66" t="e">
        <f t="shared" si="45"/>
        <v>#VALUE!</v>
      </c>
      <c r="J71" s="66" t="e">
        <f t="shared" si="46"/>
        <v>#VALUE!</v>
      </c>
      <c r="K71" s="66" t="e">
        <f t="shared" si="47"/>
        <v>#VALUE!</v>
      </c>
      <c r="L71" s="66" t="e">
        <f t="shared" si="48"/>
        <v>#VALUE!</v>
      </c>
      <c r="M71" s="66" t="e">
        <f t="shared" si="49"/>
        <v>#VALUE!</v>
      </c>
      <c r="N71" s="66" t="e">
        <f t="shared" si="50"/>
        <v>#VALUE!</v>
      </c>
      <c r="O71" s="66" t="e">
        <f t="shared" si="51"/>
        <v>#VALUE!</v>
      </c>
      <c r="P71" s="66" t="e">
        <f t="shared" si="52"/>
        <v>#VALUE!</v>
      </c>
      <c r="Q71" s="67" t="e">
        <f t="shared" si="53"/>
        <v>#VALUE!</v>
      </c>
      <c r="R71" s="4"/>
      <c r="T71" s="172" t="str">
        <f>B52</f>
        <v>Other</v>
      </c>
      <c r="U71" s="169"/>
      <c r="V71" s="82" t="str">
        <f t="shared" si="25"/>
        <v/>
      </c>
    </row>
    <row r="72" spans="1:22" ht="21.75" hidden="1" customHeight="1" x14ac:dyDescent="0.25">
      <c r="B72" s="141" t="str">
        <f>B53</f>
        <v xml:space="preserve">Other </v>
      </c>
      <c r="C72" s="140"/>
      <c r="D72" s="66" t="e">
        <f t="shared" si="40"/>
        <v>#VALUE!</v>
      </c>
      <c r="E72" s="66" t="e">
        <f t="shared" si="41"/>
        <v>#VALUE!</v>
      </c>
      <c r="F72" s="66" t="e">
        <f t="shared" si="42"/>
        <v>#VALUE!</v>
      </c>
      <c r="G72" s="66" t="e">
        <f t="shared" si="43"/>
        <v>#VALUE!</v>
      </c>
      <c r="H72" s="66" t="e">
        <f t="shared" si="44"/>
        <v>#VALUE!</v>
      </c>
      <c r="I72" s="66" t="e">
        <f t="shared" si="45"/>
        <v>#VALUE!</v>
      </c>
      <c r="J72" s="66" t="e">
        <f t="shared" si="46"/>
        <v>#VALUE!</v>
      </c>
      <c r="K72" s="66" t="e">
        <f t="shared" si="47"/>
        <v>#VALUE!</v>
      </c>
      <c r="L72" s="66" t="e">
        <f t="shared" si="48"/>
        <v>#VALUE!</v>
      </c>
      <c r="M72" s="66" t="e">
        <f t="shared" si="49"/>
        <v>#VALUE!</v>
      </c>
      <c r="N72" s="66" t="e">
        <f t="shared" si="50"/>
        <v>#VALUE!</v>
      </c>
      <c r="O72" s="66" t="e">
        <f t="shared" si="51"/>
        <v>#VALUE!</v>
      </c>
      <c r="P72" s="66" t="e">
        <f t="shared" si="52"/>
        <v>#VALUE!</v>
      </c>
      <c r="Q72" s="67" t="e">
        <f t="shared" si="53"/>
        <v>#VALUE!</v>
      </c>
      <c r="R72" s="4"/>
      <c r="T72" s="168" t="str">
        <f>B53</f>
        <v xml:space="preserve">Other </v>
      </c>
      <c r="U72" s="169"/>
      <c r="V72" s="82" t="str">
        <f t="shared" si="25"/>
        <v/>
      </c>
    </row>
    <row r="73" spans="1:22" ht="21.75" hidden="1" customHeight="1" thickBot="1" x14ac:dyDescent="0.3">
      <c r="B73" s="142" t="str">
        <f>B54</f>
        <v xml:space="preserve">Other </v>
      </c>
      <c r="C73" s="143"/>
      <c r="D73" s="69" t="e">
        <f t="shared" si="40"/>
        <v>#VALUE!</v>
      </c>
      <c r="E73" s="69" t="e">
        <f t="shared" si="41"/>
        <v>#VALUE!</v>
      </c>
      <c r="F73" s="69" t="e">
        <f t="shared" si="42"/>
        <v>#VALUE!</v>
      </c>
      <c r="G73" s="69" t="e">
        <f t="shared" si="43"/>
        <v>#VALUE!</v>
      </c>
      <c r="H73" s="69" t="e">
        <f t="shared" si="44"/>
        <v>#VALUE!</v>
      </c>
      <c r="I73" s="69" t="e">
        <f t="shared" si="45"/>
        <v>#VALUE!</v>
      </c>
      <c r="J73" s="69" t="e">
        <f t="shared" si="46"/>
        <v>#VALUE!</v>
      </c>
      <c r="K73" s="69" t="e">
        <f t="shared" si="47"/>
        <v>#VALUE!</v>
      </c>
      <c r="L73" s="69" t="e">
        <f t="shared" si="48"/>
        <v>#VALUE!</v>
      </c>
      <c r="M73" s="69" t="e">
        <f t="shared" si="49"/>
        <v>#VALUE!</v>
      </c>
      <c r="N73" s="69" t="e">
        <f t="shared" si="50"/>
        <v>#VALUE!</v>
      </c>
      <c r="O73" s="69" t="e">
        <f t="shared" si="51"/>
        <v>#VALUE!</v>
      </c>
      <c r="P73" s="69" t="e">
        <f t="shared" si="52"/>
        <v>#VALUE!</v>
      </c>
      <c r="Q73" s="70" t="e">
        <f t="shared" si="53"/>
        <v>#VALUE!</v>
      </c>
      <c r="R73" s="4"/>
      <c r="T73" s="170" t="str">
        <f>B54</f>
        <v xml:space="preserve">Other </v>
      </c>
      <c r="U73" s="171"/>
      <c r="V73" s="84" t="str">
        <f t="shared" si="25"/>
        <v/>
      </c>
    </row>
    <row r="74" spans="1:22" ht="21.75" hidden="1" customHeight="1" thickBot="1" x14ac:dyDescent="0.3">
      <c r="A74" s="1"/>
      <c r="B74" s="10"/>
      <c r="C74" s="17"/>
      <c r="D74" s="17"/>
      <c r="E74" s="11"/>
      <c r="F74" s="11"/>
      <c r="G74" s="11"/>
      <c r="H74" s="11"/>
      <c r="I74" s="11"/>
      <c r="J74" s="11"/>
      <c r="K74" s="11"/>
      <c r="L74" s="11"/>
      <c r="M74" s="11"/>
      <c r="N74" s="11"/>
      <c r="O74" s="11"/>
      <c r="P74" s="11"/>
      <c r="Q74" s="11"/>
      <c r="R74" s="11"/>
      <c r="S74" s="4"/>
    </row>
    <row r="75" spans="1:22" ht="21.75" hidden="1" customHeight="1" x14ac:dyDescent="0.25">
      <c r="B75" s="121" t="s">
        <v>52</v>
      </c>
      <c r="C75" s="122"/>
      <c r="D75" s="122"/>
      <c r="E75" s="122"/>
      <c r="F75" s="122"/>
      <c r="G75" s="122"/>
      <c r="H75" s="122"/>
      <c r="I75" s="122"/>
      <c r="J75" s="122"/>
      <c r="K75" s="122"/>
      <c r="L75" s="122"/>
      <c r="M75" s="122"/>
      <c r="N75" s="122"/>
      <c r="O75" s="122"/>
      <c r="P75" s="123"/>
      <c r="Q75" s="4"/>
    </row>
    <row r="76" spans="1:22" ht="21.75" hidden="1" customHeight="1" thickBot="1" x14ac:dyDescent="0.3">
      <c r="B76" s="124"/>
      <c r="C76" s="125"/>
      <c r="D76" s="125"/>
      <c r="E76" s="125"/>
      <c r="F76" s="125"/>
      <c r="G76" s="125"/>
      <c r="H76" s="125"/>
      <c r="I76" s="125"/>
      <c r="J76" s="125"/>
      <c r="K76" s="125"/>
      <c r="L76" s="125"/>
      <c r="M76" s="125"/>
      <c r="N76" s="125"/>
      <c r="O76" s="125"/>
      <c r="P76" s="126"/>
      <c r="Q76" s="4"/>
    </row>
    <row r="77" spans="1:22" s="18" customFormat="1" ht="21.75" hidden="1" customHeight="1" x14ac:dyDescent="0.25">
      <c r="B77" s="135" t="s">
        <v>14</v>
      </c>
      <c r="C77" s="136"/>
      <c r="D77" s="79" t="str">
        <f t="shared" ref="D77:P77" si="54">D39</f>
        <v>Day 1 -Day 2</v>
      </c>
      <c r="E77" s="79" t="str">
        <f t="shared" si="54"/>
        <v>Day 2 - Day 3</v>
      </c>
      <c r="F77" s="79" t="str">
        <f t="shared" si="54"/>
        <v>Day 3 - Day 4</v>
      </c>
      <c r="G77" s="79" t="str">
        <f t="shared" si="54"/>
        <v>Day 4 - Day 5</v>
      </c>
      <c r="H77" s="79" t="str">
        <f t="shared" si="54"/>
        <v>Day 5 - Day 6</v>
      </c>
      <c r="I77" s="79" t="str">
        <f t="shared" si="54"/>
        <v>Day 6 - Day 7</v>
      </c>
      <c r="J77" s="79" t="str">
        <f t="shared" si="54"/>
        <v>Day 7 - Day 8</v>
      </c>
      <c r="K77" s="79" t="str">
        <f t="shared" si="54"/>
        <v>Day 8 - Day 9</v>
      </c>
      <c r="L77" s="79" t="str">
        <f t="shared" si="54"/>
        <v>Day 9 - Day 10</v>
      </c>
      <c r="M77" s="79" t="str">
        <f t="shared" si="54"/>
        <v>Day 10 - Day 11</v>
      </c>
      <c r="N77" s="79" t="str">
        <f t="shared" si="54"/>
        <v>Day 11 - Day 12</v>
      </c>
      <c r="O77" s="79" t="str">
        <f t="shared" si="54"/>
        <v>Day 12 - Day 13</v>
      </c>
      <c r="P77" s="80" t="str">
        <f t="shared" si="54"/>
        <v>Day 13 - Day 14</v>
      </c>
    </row>
    <row r="78" spans="1:22" ht="21.75" hidden="1" customHeight="1" x14ac:dyDescent="0.25">
      <c r="B78" s="108" t="str">
        <f>B59</f>
        <v>Washable Gowns</v>
      </c>
      <c r="C78" s="140"/>
      <c r="D78" s="81" t="str">
        <f t="shared" ref="D78:P78" si="55">IF(OR(F$7="",D40=""),"",D40/F$7)</f>
        <v/>
      </c>
      <c r="E78" s="66" t="str">
        <f t="shared" si="55"/>
        <v/>
      </c>
      <c r="F78" s="66" t="str">
        <f t="shared" si="55"/>
        <v/>
      </c>
      <c r="G78" s="66" t="str">
        <f t="shared" si="55"/>
        <v/>
      </c>
      <c r="H78" s="66" t="str">
        <f t="shared" si="55"/>
        <v/>
      </c>
      <c r="I78" s="66" t="str">
        <f t="shared" si="55"/>
        <v/>
      </c>
      <c r="J78" s="66" t="str">
        <f t="shared" si="55"/>
        <v/>
      </c>
      <c r="K78" s="66" t="str">
        <f t="shared" si="55"/>
        <v/>
      </c>
      <c r="L78" s="66" t="str">
        <f t="shared" si="55"/>
        <v/>
      </c>
      <c r="M78" s="66" t="str">
        <f t="shared" si="55"/>
        <v/>
      </c>
      <c r="N78" s="66" t="str">
        <f t="shared" si="55"/>
        <v/>
      </c>
      <c r="O78" s="66" t="str">
        <f t="shared" si="55"/>
        <v/>
      </c>
      <c r="P78" s="67" t="str">
        <f t="shared" si="55"/>
        <v/>
      </c>
    </row>
    <row r="79" spans="1:22" ht="21.75" hidden="1" customHeight="1" x14ac:dyDescent="0.25">
      <c r="B79" s="107" t="s">
        <v>49</v>
      </c>
      <c r="C79" s="68" t="str">
        <f>IF(C60="","",C60)</f>
        <v>small</v>
      </c>
      <c r="D79" s="66" t="str">
        <f t="shared" ref="D79:P79" si="56">IF(OR(F$7="",D41=""),"",D41/F$7)</f>
        <v/>
      </c>
      <c r="E79" s="66" t="str">
        <f t="shared" si="56"/>
        <v/>
      </c>
      <c r="F79" s="66" t="str">
        <f t="shared" si="56"/>
        <v/>
      </c>
      <c r="G79" s="66" t="str">
        <f t="shared" si="56"/>
        <v/>
      </c>
      <c r="H79" s="66" t="str">
        <f t="shared" si="56"/>
        <v/>
      </c>
      <c r="I79" s="66" t="str">
        <f t="shared" si="56"/>
        <v/>
      </c>
      <c r="J79" s="66" t="str">
        <f t="shared" si="56"/>
        <v/>
      </c>
      <c r="K79" s="66" t="str">
        <f t="shared" si="56"/>
        <v/>
      </c>
      <c r="L79" s="66" t="str">
        <f t="shared" si="56"/>
        <v/>
      </c>
      <c r="M79" s="66" t="str">
        <f t="shared" si="56"/>
        <v/>
      </c>
      <c r="N79" s="66" t="str">
        <f t="shared" si="56"/>
        <v/>
      </c>
      <c r="O79" s="66" t="str">
        <f t="shared" si="56"/>
        <v/>
      </c>
      <c r="P79" s="67" t="str">
        <f t="shared" si="56"/>
        <v/>
      </c>
    </row>
    <row r="80" spans="1:22" ht="21.75" hidden="1" customHeight="1" x14ac:dyDescent="0.25">
      <c r="B80" s="108"/>
      <c r="C80" s="68" t="str">
        <f>IF(C61="","",C61)</f>
        <v>medium</v>
      </c>
      <c r="D80" s="66" t="str">
        <f t="shared" ref="D80:P80" si="57">IF(OR(F$7="",D42=""),"",D42/F$7)</f>
        <v/>
      </c>
      <c r="E80" s="66" t="str">
        <f t="shared" si="57"/>
        <v/>
      </c>
      <c r="F80" s="66" t="str">
        <f t="shared" si="57"/>
        <v/>
      </c>
      <c r="G80" s="66" t="str">
        <f t="shared" si="57"/>
        <v/>
      </c>
      <c r="H80" s="66" t="str">
        <f t="shared" si="57"/>
        <v/>
      </c>
      <c r="I80" s="66" t="str">
        <f t="shared" si="57"/>
        <v/>
      </c>
      <c r="J80" s="66" t="str">
        <f t="shared" si="57"/>
        <v/>
      </c>
      <c r="K80" s="66" t="str">
        <f t="shared" si="57"/>
        <v/>
      </c>
      <c r="L80" s="66" t="str">
        <f t="shared" si="57"/>
        <v/>
      </c>
      <c r="M80" s="66" t="str">
        <f t="shared" si="57"/>
        <v/>
      </c>
      <c r="N80" s="66" t="str">
        <f t="shared" si="57"/>
        <v/>
      </c>
      <c r="O80" s="66" t="str">
        <f t="shared" si="57"/>
        <v/>
      </c>
      <c r="P80" s="67" t="str">
        <f t="shared" si="57"/>
        <v/>
      </c>
    </row>
    <row r="81" spans="1:19" s="1" customFormat="1" ht="21.75" hidden="1" customHeight="1" x14ac:dyDescent="0.25">
      <c r="A81" s="3"/>
      <c r="B81" s="108"/>
      <c r="C81" s="68" t="str">
        <f>IF(C62="","",C62)</f>
        <v>large</v>
      </c>
      <c r="D81" s="66" t="str">
        <f t="shared" ref="D81:P81" si="58">IF(OR(F$7="",D43=""),"",D43/F$7)</f>
        <v/>
      </c>
      <c r="E81" s="66" t="str">
        <f t="shared" si="58"/>
        <v/>
      </c>
      <c r="F81" s="66" t="str">
        <f t="shared" si="58"/>
        <v/>
      </c>
      <c r="G81" s="66" t="str">
        <f t="shared" si="58"/>
        <v/>
      </c>
      <c r="H81" s="66" t="str">
        <f t="shared" si="58"/>
        <v/>
      </c>
      <c r="I81" s="66" t="str">
        <f t="shared" si="58"/>
        <v/>
      </c>
      <c r="J81" s="66" t="str">
        <f t="shared" si="58"/>
        <v/>
      </c>
      <c r="K81" s="66" t="str">
        <f t="shared" si="58"/>
        <v/>
      </c>
      <c r="L81" s="66" t="str">
        <f t="shared" si="58"/>
        <v/>
      </c>
      <c r="M81" s="66" t="str">
        <f t="shared" si="58"/>
        <v/>
      </c>
      <c r="N81" s="66" t="str">
        <f t="shared" si="58"/>
        <v/>
      </c>
      <c r="O81" s="66" t="str">
        <f t="shared" si="58"/>
        <v/>
      </c>
      <c r="P81" s="67" t="str">
        <f t="shared" si="58"/>
        <v/>
      </c>
    </row>
    <row r="82" spans="1:19" ht="21.75" hidden="1" customHeight="1" x14ac:dyDescent="0.25">
      <c r="B82" s="108"/>
      <c r="C82" s="68" t="str">
        <f>IF(C63="","",C63)</f>
        <v>extra large</v>
      </c>
      <c r="D82" s="66" t="str">
        <f t="shared" ref="D82:P82" si="59">IF(OR(F$7="",D44=""),"",D44/F$7)</f>
        <v/>
      </c>
      <c r="E82" s="66" t="str">
        <f t="shared" si="59"/>
        <v/>
      </c>
      <c r="F82" s="66" t="str">
        <f t="shared" si="59"/>
        <v/>
      </c>
      <c r="G82" s="66" t="str">
        <f t="shared" si="59"/>
        <v/>
      </c>
      <c r="H82" s="66" t="str">
        <f t="shared" si="59"/>
        <v/>
      </c>
      <c r="I82" s="66" t="str">
        <f t="shared" si="59"/>
        <v/>
      </c>
      <c r="J82" s="66" t="str">
        <f t="shared" si="59"/>
        <v/>
      </c>
      <c r="K82" s="66" t="str">
        <f t="shared" si="59"/>
        <v/>
      </c>
      <c r="L82" s="66" t="str">
        <f t="shared" si="59"/>
        <v/>
      </c>
      <c r="M82" s="66" t="str">
        <f t="shared" si="59"/>
        <v/>
      </c>
      <c r="N82" s="66" t="str">
        <f t="shared" si="59"/>
        <v/>
      </c>
      <c r="O82" s="66" t="str">
        <f t="shared" si="59"/>
        <v/>
      </c>
      <c r="P82" s="67" t="str">
        <f t="shared" si="59"/>
        <v/>
      </c>
    </row>
    <row r="83" spans="1:19" ht="21.75" hidden="1" customHeight="1" x14ac:dyDescent="0.25">
      <c r="B83" s="108" t="str">
        <f>B64</f>
        <v>N95 Masks</v>
      </c>
      <c r="C83" s="140"/>
      <c r="D83" s="66" t="str">
        <f t="shared" ref="D83:P83" si="60">IF(OR(F$7="",D45=""),"",D45/F$7)</f>
        <v/>
      </c>
      <c r="E83" s="66" t="str">
        <f t="shared" si="60"/>
        <v/>
      </c>
      <c r="F83" s="66" t="str">
        <f t="shared" si="60"/>
        <v/>
      </c>
      <c r="G83" s="66" t="str">
        <f t="shared" si="60"/>
        <v/>
      </c>
      <c r="H83" s="66" t="str">
        <f t="shared" si="60"/>
        <v/>
      </c>
      <c r="I83" s="66" t="str">
        <f t="shared" si="60"/>
        <v/>
      </c>
      <c r="J83" s="66" t="str">
        <f t="shared" si="60"/>
        <v/>
      </c>
      <c r="K83" s="66" t="str">
        <f t="shared" si="60"/>
        <v/>
      </c>
      <c r="L83" s="66" t="str">
        <f t="shared" si="60"/>
        <v/>
      </c>
      <c r="M83" s="66" t="str">
        <f t="shared" si="60"/>
        <v/>
      </c>
      <c r="N83" s="66" t="str">
        <f t="shared" si="60"/>
        <v/>
      </c>
      <c r="O83" s="66" t="str">
        <f t="shared" si="60"/>
        <v/>
      </c>
      <c r="P83" s="67" t="str">
        <f t="shared" si="60"/>
        <v/>
      </c>
    </row>
    <row r="84" spans="1:19" ht="21.75" hidden="1" customHeight="1" x14ac:dyDescent="0.25">
      <c r="B84" s="108" t="str">
        <f>B65</f>
        <v>Surgical Masks</v>
      </c>
      <c r="C84" s="140"/>
      <c r="D84" s="66" t="str">
        <f t="shared" ref="D84:P84" si="61">IF(OR(F$7="",D46=""),"",D46/F$7)</f>
        <v/>
      </c>
      <c r="E84" s="66" t="str">
        <f t="shared" si="61"/>
        <v/>
      </c>
      <c r="F84" s="66" t="str">
        <f t="shared" si="61"/>
        <v/>
      </c>
      <c r="G84" s="66" t="str">
        <f t="shared" si="61"/>
        <v/>
      </c>
      <c r="H84" s="66" t="str">
        <f t="shared" si="61"/>
        <v/>
      </c>
      <c r="I84" s="66" t="str">
        <f t="shared" si="61"/>
        <v/>
      </c>
      <c r="J84" s="66" t="str">
        <f t="shared" si="61"/>
        <v/>
      </c>
      <c r="K84" s="66" t="str">
        <f t="shared" si="61"/>
        <v/>
      </c>
      <c r="L84" s="66" t="str">
        <f t="shared" si="61"/>
        <v/>
      </c>
      <c r="M84" s="66" t="str">
        <f t="shared" si="61"/>
        <v/>
      </c>
      <c r="N84" s="66" t="str">
        <f t="shared" si="61"/>
        <v/>
      </c>
      <c r="O84" s="66" t="str">
        <f t="shared" si="61"/>
        <v/>
      </c>
      <c r="P84" s="67" t="str">
        <f t="shared" si="61"/>
        <v/>
      </c>
    </row>
    <row r="85" spans="1:19" ht="21.75" hidden="1" customHeight="1" x14ac:dyDescent="0.25">
      <c r="B85" s="108" t="str">
        <f>B66</f>
        <v>Respirators</v>
      </c>
      <c r="C85" s="140"/>
      <c r="D85" s="66" t="str">
        <f t="shared" ref="D85:P85" si="62">IF(OR(F$7="",D47=""),"",D47/F$7)</f>
        <v/>
      </c>
      <c r="E85" s="66" t="str">
        <f t="shared" si="62"/>
        <v/>
      </c>
      <c r="F85" s="66" t="str">
        <f t="shared" si="62"/>
        <v/>
      </c>
      <c r="G85" s="66" t="str">
        <f t="shared" si="62"/>
        <v/>
      </c>
      <c r="H85" s="66" t="str">
        <f t="shared" si="62"/>
        <v/>
      </c>
      <c r="I85" s="66" t="str">
        <f t="shared" si="62"/>
        <v/>
      </c>
      <c r="J85" s="66" t="str">
        <f t="shared" si="62"/>
        <v/>
      </c>
      <c r="K85" s="66" t="str">
        <f t="shared" si="62"/>
        <v/>
      </c>
      <c r="L85" s="66" t="str">
        <f t="shared" si="62"/>
        <v/>
      </c>
      <c r="M85" s="66" t="str">
        <f t="shared" si="62"/>
        <v/>
      </c>
      <c r="N85" s="66" t="str">
        <f t="shared" si="62"/>
        <v/>
      </c>
      <c r="O85" s="66" t="str">
        <f t="shared" si="62"/>
        <v/>
      </c>
      <c r="P85" s="67" t="str">
        <f t="shared" si="62"/>
        <v/>
      </c>
    </row>
    <row r="86" spans="1:19" ht="21.75" hidden="1" customHeight="1" x14ac:dyDescent="0.25">
      <c r="B86" s="108" t="str">
        <f>B67</f>
        <v>Face Shields</v>
      </c>
      <c r="C86" s="140"/>
      <c r="D86" s="66" t="str">
        <f t="shared" ref="D86:P86" si="63">IF(OR(F$7="",D48=""),"",D48/F$7)</f>
        <v/>
      </c>
      <c r="E86" s="66" t="str">
        <f t="shared" si="63"/>
        <v/>
      </c>
      <c r="F86" s="66" t="str">
        <f t="shared" si="63"/>
        <v/>
      </c>
      <c r="G86" s="66" t="str">
        <f t="shared" si="63"/>
        <v/>
      </c>
      <c r="H86" s="66" t="str">
        <f t="shared" si="63"/>
        <v/>
      </c>
      <c r="I86" s="66" t="str">
        <f t="shared" si="63"/>
        <v/>
      </c>
      <c r="J86" s="66" t="str">
        <f t="shared" si="63"/>
        <v/>
      </c>
      <c r="K86" s="66" t="str">
        <f t="shared" si="63"/>
        <v/>
      </c>
      <c r="L86" s="66" t="str">
        <f t="shared" si="63"/>
        <v/>
      </c>
      <c r="M86" s="66" t="str">
        <f t="shared" si="63"/>
        <v/>
      </c>
      <c r="N86" s="66" t="str">
        <f t="shared" si="63"/>
        <v/>
      </c>
      <c r="O86" s="66" t="str">
        <f t="shared" si="63"/>
        <v/>
      </c>
      <c r="P86" s="67" t="str">
        <f t="shared" si="63"/>
        <v/>
      </c>
    </row>
    <row r="87" spans="1:19" ht="21.75" hidden="1" customHeight="1" x14ac:dyDescent="0.25">
      <c r="B87" s="108" t="str">
        <f>IF(B68="","",B68)</f>
        <v>Eye Protection - Goggles</v>
      </c>
      <c r="C87" s="140"/>
      <c r="D87" s="66" t="str">
        <f t="shared" ref="D87:P87" si="64">IF(OR(F$7="",D49=""),"",D49/F$7)</f>
        <v/>
      </c>
      <c r="E87" s="66" t="str">
        <f t="shared" si="64"/>
        <v/>
      </c>
      <c r="F87" s="66" t="str">
        <f t="shared" si="64"/>
        <v/>
      </c>
      <c r="G87" s="66" t="str">
        <f t="shared" si="64"/>
        <v/>
      </c>
      <c r="H87" s="66" t="str">
        <f t="shared" si="64"/>
        <v/>
      </c>
      <c r="I87" s="66" t="str">
        <f t="shared" si="64"/>
        <v/>
      </c>
      <c r="J87" s="66" t="str">
        <f t="shared" si="64"/>
        <v/>
      </c>
      <c r="K87" s="66" t="str">
        <f t="shared" si="64"/>
        <v/>
      </c>
      <c r="L87" s="66" t="str">
        <f t="shared" si="64"/>
        <v/>
      </c>
      <c r="M87" s="66" t="str">
        <f t="shared" si="64"/>
        <v/>
      </c>
      <c r="N87" s="66" t="str">
        <f t="shared" si="64"/>
        <v/>
      </c>
      <c r="O87" s="66" t="str">
        <f t="shared" si="64"/>
        <v/>
      </c>
      <c r="P87" s="67" t="str">
        <f t="shared" si="64"/>
        <v/>
      </c>
    </row>
    <row r="88" spans="1:19" ht="21.75" hidden="1" customHeight="1" x14ac:dyDescent="0.25">
      <c r="B88" s="108" t="str">
        <f>B50</f>
        <v>Disposable Gowns</v>
      </c>
      <c r="C88" s="140"/>
      <c r="D88" s="66" t="str">
        <f t="shared" ref="D88:P88" si="65">IF(OR(F$7="",D50=""),"",D50/F$7)</f>
        <v/>
      </c>
      <c r="E88" s="66" t="str">
        <f t="shared" si="65"/>
        <v/>
      </c>
      <c r="F88" s="66" t="str">
        <f t="shared" si="65"/>
        <v/>
      </c>
      <c r="G88" s="66" t="str">
        <f t="shared" si="65"/>
        <v/>
      </c>
      <c r="H88" s="66" t="str">
        <f t="shared" si="65"/>
        <v/>
      </c>
      <c r="I88" s="66" t="str">
        <f t="shared" si="65"/>
        <v/>
      </c>
      <c r="J88" s="66" t="str">
        <f t="shared" si="65"/>
        <v/>
      </c>
      <c r="K88" s="66" t="str">
        <f t="shared" si="65"/>
        <v/>
      </c>
      <c r="L88" s="66" t="str">
        <f t="shared" si="65"/>
        <v/>
      </c>
      <c r="M88" s="66" t="str">
        <f t="shared" si="65"/>
        <v/>
      </c>
      <c r="N88" s="66" t="str">
        <f t="shared" si="65"/>
        <v/>
      </c>
      <c r="O88" s="66" t="str">
        <f t="shared" si="65"/>
        <v/>
      </c>
      <c r="P88" s="67" t="str">
        <f t="shared" si="65"/>
        <v/>
      </c>
    </row>
    <row r="89" spans="1:19" ht="21.75" hidden="1" customHeight="1" x14ac:dyDescent="0.25">
      <c r="B89" s="108" t="str">
        <f>B51</f>
        <v>Fluid Resistant Gowns</v>
      </c>
      <c r="C89" s="140"/>
      <c r="D89" s="66" t="str">
        <f t="shared" ref="D89:P89" si="66">IF(OR(F$7="",D51=""),"",D51/F$7)</f>
        <v/>
      </c>
      <c r="E89" s="66" t="str">
        <f t="shared" si="66"/>
        <v/>
      </c>
      <c r="F89" s="66" t="str">
        <f t="shared" si="66"/>
        <v/>
      </c>
      <c r="G89" s="66" t="str">
        <f t="shared" si="66"/>
        <v/>
      </c>
      <c r="H89" s="66" t="str">
        <f t="shared" si="66"/>
        <v/>
      </c>
      <c r="I89" s="66" t="str">
        <f t="shared" si="66"/>
        <v/>
      </c>
      <c r="J89" s="66" t="str">
        <f t="shared" si="66"/>
        <v/>
      </c>
      <c r="K89" s="66" t="str">
        <f t="shared" si="66"/>
        <v/>
      </c>
      <c r="L89" s="66" t="str">
        <f t="shared" si="66"/>
        <v/>
      </c>
      <c r="M89" s="66" t="str">
        <f t="shared" si="66"/>
        <v/>
      </c>
      <c r="N89" s="66" t="str">
        <f t="shared" si="66"/>
        <v/>
      </c>
      <c r="O89" s="66" t="str">
        <f t="shared" si="66"/>
        <v/>
      </c>
      <c r="P89" s="67" t="str">
        <f t="shared" si="66"/>
        <v/>
      </c>
    </row>
    <row r="90" spans="1:19" ht="21.75" hidden="1" customHeight="1" x14ac:dyDescent="0.25">
      <c r="B90" s="108" t="str">
        <f>B52</f>
        <v>Other</v>
      </c>
      <c r="C90" s="140"/>
      <c r="D90" s="66" t="str">
        <f t="shared" ref="D90:P90" si="67">IF(OR(F$7="",D52=""),"",D52/F$7)</f>
        <v/>
      </c>
      <c r="E90" s="66" t="str">
        <f t="shared" si="67"/>
        <v/>
      </c>
      <c r="F90" s="66" t="str">
        <f t="shared" si="67"/>
        <v/>
      </c>
      <c r="G90" s="66" t="str">
        <f t="shared" si="67"/>
        <v/>
      </c>
      <c r="H90" s="66" t="str">
        <f t="shared" si="67"/>
        <v/>
      </c>
      <c r="I90" s="66" t="str">
        <f t="shared" si="67"/>
        <v/>
      </c>
      <c r="J90" s="66" t="str">
        <f t="shared" si="67"/>
        <v/>
      </c>
      <c r="K90" s="66" t="str">
        <f t="shared" si="67"/>
        <v/>
      </c>
      <c r="L90" s="66" t="str">
        <f t="shared" si="67"/>
        <v/>
      </c>
      <c r="M90" s="66" t="str">
        <f t="shared" si="67"/>
        <v/>
      </c>
      <c r="N90" s="66" t="str">
        <f t="shared" si="67"/>
        <v/>
      </c>
      <c r="O90" s="66" t="str">
        <f t="shared" si="67"/>
        <v/>
      </c>
      <c r="P90" s="67" t="str">
        <f t="shared" si="67"/>
        <v/>
      </c>
    </row>
    <row r="91" spans="1:19" ht="21.75" hidden="1" customHeight="1" x14ac:dyDescent="0.25">
      <c r="B91" s="141" t="str">
        <f>B53</f>
        <v xml:space="preserve">Other </v>
      </c>
      <c r="C91" s="140"/>
      <c r="D91" s="66" t="str">
        <f t="shared" ref="D91:P91" si="68">IF(OR(F$7="",D53=""),"",D53/F$7)</f>
        <v/>
      </c>
      <c r="E91" s="66" t="str">
        <f t="shared" si="68"/>
        <v/>
      </c>
      <c r="F91" s="66" t="str">
        <f t="shared" si="68"/>
        <v/>
      </c>
      <c r="G91" s="66" t="str">
        <f t="shared" si="68"/>
        <v/>
      </c>
      <c r="H91" s="66" t="str">
        <f t="shared" si="68"/>
        <v/>
      </c>
      <c r="I91" s="66" t="str">
        <f t="shared" si="68"/>
        <v/>
      </c>
      <c r="J91" s="66" t="str">
        <f t="shared" si="68"/>
        <v/>
      </c>
      <c r="K91" s="66" t="str">
        <f t="shared" si="68"/>
        <v/>
      </c>
      <c r="L91" s="66" t="str">
        <f t="shared" si="68"/>
        <v/>
      </c>
      <c r="M91" s="66" t="str">
        <f t="shared" si="68"/>
        <v/>
      </c>
      <c r="N91" s="66" t="str">
        <f t="shared" si="68"/>
        <v/>
      </c>
      <c r="O91" s="66" t="str">
        <f t="shared" si="68"/>
        <v/>
      </c>
      <c r="P91" s="67" t="str">
        <f t="shared" si="68"/>
        <v/>
      </c>
    </row>
    <row r="92" spans="1:19" ht="21.75" hidden="1" customHeight="1" thickBot="1" x14ac:dyDescent="0.3">
      <c r="B92" s="142" t="str">
        <f>B54</f>
        <v xml:space="preserve">Other </v>
      </c>
      <c r="C92" s="143"/>
      <c r="D92" s="69" t="str">
        <f t="shared" ref="D92:P92" si="69">IF(OR(F$7="",D54=""),"",D54/F$7)</f>
        <v/>
      </c>
      <c r="E92" s="69" t="str">
        <f t="shared" si="69"/>
        <v/>
      </c>
      <c r="F92" s="69" t="str">
        <f t="shared" si="69"/>
        <v/>
      </c>
      <c r="G92" s="69" t="str">
        <f t="shared" si="69"/>
        <v/>
      </c>
      <c r="H92" s="69" t="str">
        <f t="shared" si="69"/>
        <v/>
      </c>
      <c r="I92" s="69" t="str">
        <f t="shared" si="69"/>
        <v/>
      </c>
      <c r="J92" s="69" t="str">
        <f t="shared" si="69"/>
        <v/>
      </c>
      <c r="K92" s="69" t="str">
        <f t="shared" si="69"/>
        <v/>
      </c>
      <c r="L92" s="69" t="str">
        <f t="shared" si="69"/>
        <v/>
      </c>
      <c r="M92" s="69" t="str">
        <f t="shared" si="69"/>
        <v/>
      </c>
      <c r="N92" s="69" t="str">
        <f t="shared" si="69"/>
        <v/>
      </c>
      <c r="O92" s="69" t="str">
        <f t="shared" si="69"/>
        <v/>
      </c>
      <c r="P92" s="70" t="str">
        <f t="shared" si="69"/>
        <v/>
      </c>
    </row>
    <row r="93" spans="1:19" ht="21.75" hidden="1" customHeight="1" x14ac:dyDescent="0.25">
      <c r="S93" s="5" t="str">
        <f>IF(OR(S$7="",S55=""),"",S55/S$7)</f>
        <v/>
      </c>
    </row>
    <row r="94" spans="1:19" ht="21.75" hidden="1" customHeight="1" x14ac:dyDescent="0.25">
      <c r="S94" s="5" t="str">
        <f>IF(OR(S$7="",R56=""),"",R56/S$7)</f>
        <v/>
      </c>
    </row>
    <row r="95" spans="1:19" ht="21.75" hidden="1" customHeight="1" x14ac:dyDescent="0.25">
      <c r="S95" s="5" t="str">
        <f>IF(OR(S$7="",R57=""),"",R57/S$7)</f>
        <v/>
      </c>
    </row>
    <row r="96" spans="1:19" ht="21.75" hidden="1" customHeight="1" x14ac:dyDescent="0.25">
      <c r="S96" s="5" t="str">
        <f>IF(OR(S$7="",R58=""),"",R58/S$7)</f>
        <v/>
      </c>
    </row>
    <row r="97" spans="5:19" ht="21.75" hidden="1" customHeight="1" x14ac:dyDescent="0.25">
      <c r="E97" s="27"/>
      <c r="S97" s="5" t="str">
        <f>IF(OR(S$7="",R59=""),"",R59/S$7)</f>
        <v/>
      </c>
    </row>
    <row r="98" spans="5:19" ht="21.75" hidden="1" customHeight="1" x14ac:dyDescent="0.25">
      <c r="S98" s="5"/>
    </row>
    <row r="99" spans="5:19" ht="21.75" hidden="1" customHeight="1" x14ac:dyDescent="0.25">
      <c r="S99" s="5"/>
    </row>
    <row r="100" spans="5:19" ht="21.75" hidden="1" customHeight="1" x14ac:dyDescent="0.25">
      <c r="S100" s="5"/>
    </row>
    <row r="101" spans="5:19" ht="21.75" hidden="1" customHeight="1" x14ac:dyDescent="0.25">
      <c r="S101" s="5" t="str">
        <f>IF(OR(S$7="",R61=""),"",R61/S$7)</f>
        <v/>
      </c>
    </row>
    <row r="102" spans="5:19" ht="21.75" hidden="1" customHeight="1" x14ac:dyDescent="0.25"/>
    <row r="103" spans="5:19" ht="21.75" customHeight="1" x14ac:dyDescent="0.25"/>
    <row r="104" spans="5:19" ht="21.75" customHeight="1" x14ac:dyDescent="0.25"/>
    <row r="105" spans="5:19" ht="21.75" customHeight="1" x14ac:dyDescent="0.25"/>
    <row r="106" spans="5:19" ht="21.75" customHeight="1" x14ac:dyDescent="0.25"/>
    <row r="107" spans="5:19" ht="21.75" customHeight="1" x14ac:dyDescent="0.25"/>
    <row r="108" spans="5:19" ht="21.75" customHeight="1" x14ac:dyDescent="0.25"/>
    <row r="109" spans="5:19" ht="21.75" customHeight="1" x14ac:dyDescent="0.25"/>
    <row r="110" spans="5:19" ht="21.75" customHeight="1" x14ac:dyDescent="0.25"/>
    <row r="111" spans="5:19" ht="21.75" customHeight="1" x14ac:dyDescent="0.25"/>
    <row r="112" spans="5:19" ht="21.75" customHeight="1" x14ac:dyDescent="0.25"/>
  </sheetData>
  <sheetProtection selectLockedCells="1"/>
  <mergeCells count="94">
    <mergeCell ref="B54:C54"/>
    <mergeCell ref="B48:C48"/>
    <mergeCell ref="B49:C49"/>
    <mergeCell ref="B50:C50"/>
    <mergeCell ref="B27:R27"/>
    <mergeCell ref="B25:M25"/>
    <mergeCell ref="B51:C51"/>
    <mergeCell ref="B52:C52"/>
    <mergeCell ref="B53:C53"/>
    <mergeCell ref="T48:U48"/>
    <mergeCell ref="T49:U49"/>
    <mergeCell ref="T47:U47"/>
    <mergeCell ref="T37:V38"/>
    <mergeCell ref="T39:U39"/>
    <mergeCell ref="T40:U40"/>
    <mergeCell ref="T41:T44"/>
    <mergeCell ref="T45:U45"/>
    <mergeCell ref="T46:U46"/>
    <mergeCell ref="T65:U65"/>
    <mergeCell ref="T50:U50"/>
    <mergeCell ref="T51:U51"/>
    <mergeCell ref="T52:U52"/>
    <mergeCell ref="T53:U53"/>
    <mergeCell ref="T54:U54"/>
    <mergeCell ref="T56:V57"/>
    <mergeCell ref="T58:U58"/>
    <mergeCell ref="T59:U59"/>
    <mergeCell ref="T60:T63"/>
    <mergeCell ref="T64:U64"/>
    <mergeCell ref="T72:U72"/>
    <mergeCell ref="T73:U73"/>
    <mergeCell ref="T66:U66"/>
    <mergeCell ref="T67:U67"/>
    <mergeCell ref="T68:U68"/>
    <mergeCell ref="T69:U69"/>
    <mergeCell ref="T70:U70"/>
    <mergeCell ref="T71:U71"/>
    <mergeCell ref="B7:D7"/>
    <mergeCell ref="B4:D6"/>
    <mergeCell ref="B56:Q57"/>
    <mergeCell ref="B37:P38"/>
    <mergeCell ref="B92:C92"/>
    <mergeCell ref="B89:C89"/>
    <mergeCell ref="B90:C90"/>
    <mergeCell ref="B91:C91"/>
    <mergeCell ref="B65:C65"/>
    <mergeCell ref="B66:C66"/>
    <mergeCell ref="B67:C67"/>
    <mergeCell ref="B68:C68"/>
    <mergeCell ref="B17:C17"/>
    <mergeCell ref="B47:C47"/>
    <mergeCell ref="B58:C58"/>
    <mergeCell ref="B59:C59"/>
    <mergeCell ref="B3:R3"/>
    <mergeCell ref="B77:C77"/>
    <mergeCell ref="E8:R8"/>
    <mergeCell ref="B87:C87"/>
    <mergeCell ref="B88:C88"/>
    <mergeCell ref="B78:C78"/>
    <mergeCell ref="B83:C83"/>
    <mergeCell ref="B84:C84"/>
    <mergeCell ref="B85:C85"/>
    <mergeCell ref="B86:C86"/>
    <mergeCell ref="B69:C69"/>
    <mergeCell ref="B72:C72"/>
    <mergeCell ref="B73:C73"/>
    <mergeCell ref="B70:C70"/>
    <mergeCell ref="B71:C71"/>
    <mergeCell ref="B64:C64"/>
    <mergeCell ref="B8:C8"/>
    <mergeCell ref="B19:C19"/>
    <mergeCell ref="B20:C20"/>
    <mergeCell ref="B21:C21"/>
    <mergeCell ref="B14:C14"/>
    <mergeCell ref="B9:C9"/>
    <mergeCell ref="B15:C15"/>
    <mergeCell ref="B16:C16"/>
    <mergeCell ref="B18:C18"/>
    <mergeCell ref="B79:B82"/>
    <mergeCell ref="B41:B44"/>
    <mergeCell ref="B22:C22"/>
    <mergeCell ref="B10:B13"/>
    <mergeCell ref="B23:C23"/>
    <mergeCell ref="B30:R30"/>
    <mergeCell ref="B31:R31"/>
    <mergeCell ref="B32:R32"/>
    <mergeCell ref="B39:C39"/>
    <mergeCell ref="B40:C40"/>
    <mergeCell ref="B45:C45"/>
    <mergeCell ref="B46:C46"/>
    <mergeCell ref="B75:P76"/>
    <mergeCell ref="B60:B63"/>
    <mergeCell ref="B29:R29"/>
    <mergeCell ref="B28:R28"/>
  </mergeCells>
  <phoneticPr fontId="2" type="noConversion"/>
  <conditionalFormatting sqref="D78:P92">
    <cfRule type="containsErrors" dxfId="10" priority="10">
      <formula>ISERROR(D78)</formula>
    </cfRule>
  </conditionalFormatting>
  <conditionalFormatting sqref="D59:Q73">
    <cfRule type="containsErrors" dxfId="9" priority="9">
      <formula>ISERROR(D59)</formula>
    </cfRule>
  </conditionalFormatting>
  <conditionalFormatting sqref="D40:P54">
    <cfRule type="cellIs" dxfId="8" priority="2" operator="equal">
      <formula>0</formula>
    </cfRule>
  </conditionalFormatting>
  <conditionalFormatting sqref="V59:V73">
    <cfRule type="containsErrors" dxfId="7" priority="7">
      <formula>ISERROR(V59)</formula>
    </cfRule>
  </conditionalFormatting>
  <conditionalFormatting sqref="V40:V54">
    <cfRule type="containsErrors" dxfId="6" priority="6">
      <formula>ISERROR(V40)</formula>
    </cfRule>
  </conditionalFormatting>
  <pageMargins left="0.7" right="0.7" top="0.75" bottom="0.75" header="0.3" footer="0.3"/>
  <pageSetup paperSize="3" scale="43" fitToHeight="0" orientation="landscape" r:id="rId1"/>
  <headerFooter>
    <oddFooter>&amp;C&amp;"+,Regular"&amp;8© Copyright 2022, Jensen Hughes, Inc. All rights reserved.</oddFooter>
  </headerFooter>
  <ignoredErrors>
    <ignoredError sqref="B49 B68" formula="1"/>
    <ignoredError sqref="G78:P78 D79:P84 D85:P92 V41 D59:Q73" evalError="1"/>
    <ignoredError sqref="E23:R23 E22:R22 J21:R21 J19:R19 J18:R18 J20:R20 J17:R17 J16:R16 J15:R15 J14:R14 D20 D21 D22 D23 J12:R12 J13:R13 J11:R11" unlockedFormula="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185DD-A2BF-441A-9215-F72DF4102604}">
  <dimension ref="A1:KX75"/>
  <sheetViews>
    <sheetView showGridLines="0" zoomScale="64" zoomScaleNormal="64" workbookViewId="0">
      <pane ySplit="1" topLeftCell="A2" activePane="bottomLeft" state="frozen"/>
      <selection pane="bottomLeft" activeCell="B39" sqref="B39:P39"/>
    </sheetView>
  </sheetViews>
  <sheetFormatPr defaultColWidth="9.28515625" defaultRowHeight="15" x14ac:dyDescent="0.25"/>
  <cols>
    <col min="1" max="1" width="3.28515625" style="3" customWidth="1"/>
    <col min="2" max="2" width="15.28515625" style="3" customWidth="1"/>
    <col min="3" max="3" width="15.5703125" style="3" customWidth="1"/>
    <col min="4" max="18" width="13.7109375" style="3" customWidth="1"/>
    <col min="19" max="19" width="21.7109375" style="3" customWidth="1"/>
    <col min="20" max="20" width="23.7109375" style="3" customWidth="1"/>
    <col min="21" max="21" width="62.28515625" style="3" customWidth="1"/>
    <col min="22" max="22" width="69" style="3" customWidth="1"/>
    <col min="23" max="16384" width="9.28515625" style="3"/>
  </cols>
  <sheetData>
    <row r="1" spans="1:310" s="26" customFormat="1" ht="33" customHeight="1" thickBot="1" x14ac:dyDescent="0.3"/>
    <row r="2" spans="1:310" ht="9.75" customHeight="1" thickBot="1" x14ac:dyDescent="0.3">
      <c r="A2" s="1"/>
      <c r="B2" s="39"/>
      <c r="C2" s="40"/>
      <c r="D2" s="40"/>
      <c r="E2" s="25"/>
      <c r="F2" s="41"/>
      <c r="G2" s="41"/>
      <c r="H2" s="41"/>
      <c r="I2" s="41"/>
      <c r="J2" s="41"/>
      <c r="K2" s="41"/>
      <c r="L2" s="41"/>
      <c r="M2" s="41"/>
      <c r="N2" s="41"/>
      <c r="O2" s="41"/>
      <c r="P2" s="41"/>
      <c r="Q2" s="10"/>
      <c r="R2" s="10"/>
      <c r="S2" s="10"/>
    </row>
    <row r="3" spans="1:310" ht="54" customHeight="1" thickBot="1" x14ac:dyDescent="0.3">
      <c r="A3" s="5"/>
      <c r="B3" s="214" t="s">
        <v>57</v>
      </c>
      <c r="C3" s="215"/>
      <c r="D3" s="215"/>
      <c r="E3" s="215"/>
      <c r="F3" s="215"/>
      <c r="G3" s="215"/>
      <c r="H3" s="215"/>
      <c r="I3" s="215"/>
      <c r="J3" s="215"/>
      <c r="K3" s="215"/>
      <c r="L3" s="215"/>
      <c r="M3" s="215"/>
      <c r="N3" s="215"/>
      <c r="O3" s="215"/>
      <c r="P3" s="216"/>
      <c r="Q3" s="31"/>
      <c r="R3" s="8"/>
      <c r="S3" s="217" t="s">
        <v>37</v>
      </c>
      <c r="T3" s="218"/>
      <c r="U3" s="219"/>
    </row>
    <row r="4" spans="1:310" s="18" customFormat="1" ht="36" customHeight="1" x14ac:dyDescent="0.25">
      <c r="B4" s="210" t="s">
        <v>14</v>
      </c>
      <c r="C4" s="211"/>
      <c r="D4" s="88" t="s">
        <v>21</v>
      </c>
      <c r="E4" s="88" t="s">
        <v>22</v>
      </c>
      <c r="F4" s="88" t="s">
        <v>23</v>
      </c>
      <c r="G4" s="88" t="s">
        <v>24</v>
      </c>
      <c r="H4" s="88" t="s">
        <v>25</v>
      </c>
      <c r="I4" s="88" t="s">
        <v>26</v>
      </c>
      <c r="J4" s="88" t="s">
        <v>27</v>
      </c>
      <c r="K4" s="88" t="s">
        <v>28</v>
      </c>
      <c r="L4" s="88" t="s">
        <v>29</v>
      </c>
      <c r="M4" s="88" t="s">
        <v>30</v>
      </c>
      <c r="N4" s="88" t="s">
        <v>31</v>
      </c>
      <c r="O4" s="88" t="s">
        <v>32</v>
      </c>
      <c r="P4" s="89" t="s">
        <v>33</v>
      </c>
      <c r="Q4" s="32"/>
      <c r="R4" s="36"/>
      <c r="S4" s="208" t="s">
        <v>14</v>
      </c>
      <c r="T4" s="209"/>
      <c r="U4" s="95" t="s">
        <v>48</v>
      </c>
    </row>
    <row r="5" spans="1:310" ht="21.75" customHeight="1" x14ac:dyDescent="0.25">
      <c r="B5" s="196" t="str">
        <f>'Daily Data Entry'!B40:C40</f>
        <v>Washable Gowns</v>
      </c>
      <c r="C5" s="197"/>
      <c r="D5" s="90" t="str">
        <f>'Daily Data Entry'!D40</f>
        <v/>
      </c>
      <c r="E5" s="90" t="str">
        <f>'Daily Data Entry'!E40</f>
        <v/>
      </c>
      <c r="F5" s="90" t="str">
        <f>'Daily Data Entry'!F40</f>
        <v/>
      </c>
      <c r="G5" s="90" t="str">
        <f>'Daily Data Entry'!G40</f>
        <v/>
      </c>
      <c r="H5" s="90" t="str">
        <f>'Daily Data Entry'!H40</f>
        <v/>
      </c>
      <c r="I5" s="90" t="str">
        <f>'Daily Data Entry'!I40</f>
        <v/>
      </c>
      <c r="J5" s="90" t="str">
        <f>'Daily Data Entry'!J40</f>
        <v/>
      </c>
      <c r="K5" s="90" t="str">
        <f>'Daily Data Entry'!K40</f>
        <v/>
      </c>
      <c r="L5" s="90" t="str">
        <f>'Daily Data Entry'!L40</f>
        <v/>
      </c>
      <c r="M5" s="90" t="str">
        <f>'Daily Data Entry'!M40</f>
        <v/>
      </c>
      <c r="N5" s="90" t="str">
        <f>'Daily Data Entry'!N40</f>
        <v/>
      </c>
      <c r="O5" s="90" t="str">
        <f>'Daily Data Entry'!O40</f>
        <v/>
      </c>
      <c r="P5" s="91" t="str">
        <f>'Daily Data Entry'!P40</f>
        <v/>
      </c>
      <c r="Q5" s="33"/>
      <c r="R5" s="2"/>
      <c r="S5" s="173" t="str">
        <f t="shared" ref="S5" si="0">B5</f>
        <v>Washable Gowns</v>
      </c>
      <c r="T5" s="174"/>
      <c r="U5" s="82" t="str">
        <f>'Daily Data Entry'!V40</f>
        <v/>
      </c>
    </row>
    <row r="6" spans="1:310" ht="21.75" customHeight="1" x14ac:dyDescent="0.25">
      <c r="B6" s="212" t="s">
        <v>49</v>
      </c>
      <c r="C6" s="92" t="str">
        <f>'Daily Data Entry'!C10</f>
        <v>small</v>
      </c>
      <c r="D6" s="90" t="str">
        <f>'Daily Data Entry'!D41</f>
        <v/>
      </c>
      <c r="E6" s="90" t="str">
        <f>'Daily Data Entry'!E41</f>
        <v/>
      </c>
      <c r="F6" s="90" t="str">
        <f>'Daily Data Entry'!F41</f>
        <v/>
      </c>
      <c r="G6" s="90" t="str">
        <f>'Daily Data Entry'!G41</f>
        <v/>
      </c>
      <c r="H6" s="90" t="str">
        <f>'Daily Data Entry'!H41</f>
        <v/>
      </c>
      <c r="I6" s="90" t="str">
        <f>'Daily Data Entry'!I41</f>
        <v/>
      </c>
      <c r="J6" s="90" t="str">
        <f>'Daily Data Entry'!J41</f>
        <v/>
      </c>
      <c r="K6" s="90" t="str">
        <f>'Daily Data Entry'!K41</f>
        <v/>
      </c>
      <c r="L6" s="90" t="str">
        <f>'Daily Data Entry'!L41</f>
        <v/>
      </c>
      <c r="M6" s="90" t="str">
        <f>'Daily Data Entry'!M41</f>
        <v/>
      </c>
      <c r="N6" s="90" t="str">
        <f>'Daily Data Entry'!N41</f>
        <v/>
      </c>
      <c r="O6" s="90" t="str">
        <f>'Daily Data Entry'!O41</f>
        <v/>
      </c>
      <c r="P6" s="91" t="str">
        <f>'Daily Data Entry'!P41</f>
        <v/>
      </c>
      <c r="Q6" s="33"/>
      <c r="R6" s="2"/>
      <c r="S6" s="191" t="s">
        <v>49</v>
      </c>
      <c r="T6" s="86" t="str">
        <f t="shared" ref="T6:T9" si="1">C6</f>
        <v>small</v>
      </c>
      <c r="U6" s="82" t="str">
        <f>'Daily Data Entry'!V41</f>
        <v/>
      </c>
    </row>
    <row r="7" spans="1:310" ht="21.75" customHeight="1" thickBot="1" x14ac:dyDescent="0.3">
      <c r="B7" s="196"/>
      <c r="C7" s="92" t="str">
        <f>'Daily Data Entry'!C11</f>
        <v>medium</v>
      </c>
      <c r="D7" s="90" t="str">
        <f>'Daily Data Entry'!D42</f>
        <v/>
      </c>
      <c r="E7" s="90" t="str">
        <f>'Daily Data Entry'!E42</f>
        <v/>
      </c>
      <c r="F7" s="90" t="str">
        <f>'Daily Data Entry'!F42</f>
        <v/>
      </c>
      <c r="G7" s="90" t="str">
        <f>'Daily Data Entry'!G42</f>
        <v/>
      </c>
      <c r="H7" s="90" t="str">
        <f>'Daily Data Entry'!H42</f>
        <v/>
      </c>
      <c r="I7" s="90" t="str">
        <f>'Daily Data Entry'!I42</f>
        <v/>
      </c>
      <c r="J7" s="90" t="str">
        <f>'Daily Data Entry'!J42</f>
        <v/>
      </c>
      <c r="K7" s="90" t="str">
        <f>'Daily Data Entry'!K42</f>
        <v/>
      </c>
      <c r="L7" s="90" t="str">
        <f>'Daily Data Entry'!L42</f>
        <v/>
      </c>
      <c r="M7" s="90" t="str">
        <f>'Daily Data Entry'!M42</f>
        <v/>
      </c>
      <c r="N7" s="90" t="str">
        <f>'Daily Data Entry'!N42</f>
        <v/>
      </c>
      <c r="O7" s="90" t="str">
        <f>'Daily Data Entry'!O42</f>
        <v/>
      </c>
      <c r="P7" s="91" t="str">
        <f>'Daily Data Entry'!P42</f>
        <v/>
      </c>
      <c r="Q7" s="33"/>
      <c r="R7" s="2"/>
      <c r="S7" s="173"/>
      <c r="T7" s="86" t="str">
        <f t="shared" si="1"/>
        <v>medium</v>
      </c>
      <c r="U7" s="82" t="str">
        <f>'Daily Data Entry'!V42</f>
        <v/>
      </c>
    </row>
    <row r="8" spans="1:310" s="12" customFormat="1" ht="21.75" customHeight="1" thickBot="1" x14ac:dyDescent="0.3">
      <c r="A8" s="3"/>
      <c r="B8" s="196"/>
      <c r="C8" s="92" t="str">
        <f>'Daily Data Entry'!C12</f>
        <v>large</v>
      </c>
      <c r="D8" s="90" t="str">
        <f>'Daily Data Entry'!D43</f>
        <v/>
      </c>
      <c r="E8" s="90" t="str">
        <f>'Daily Data Entry'!E43</f>
        <v/>
      </c>
      <c r="F8" s="90" t="str">
        <f>'Daily Data Entry'!F43</f>
        <v/>
      </c>
      <c r="G8" s="90" t="str">
        <f>'Daily Data Entry'!G43</f>
        <v/>
      </c>
      <c r="H8" s="90" t="str">
        <f>'Daily Data Entry'!H43</f>
        <v/>
      </c>
      <c r="I8" s="90" t="str">
        <f>'Daily Data Entry'!I43</f>
        <v/>
      </c>
      <c r="J8" s="90" t="str">
        <f>'Daily Data Entry'!J43</f>
        <v/>
      </c>
      <c r="K8" s="90" t="str">
        <f>'Daily Data Entry'!K43</f>
        <v/>
      </c>
      <c r="L8" s="90" t="str">
        <f>'Daily Data Entry'!L43</f>
        <v/>
      </c>
      <c r="M8" s="90" t="str">
        <f>'Daily Data Entry'!M43</f>
        <v/>
      </c>
      <c r="N8" s="90" t="str">
        <f>'Daily Data Entry'!N43</f>
        <v/>
      </c>
      <c r="O8" s="90" t="str">
        <f>'Daily Data Entry'!O43</f>
        <v/>
      </c>
      <c r="P8" s="91" t="str">
        <f>'Daily Data Entry'!P43</f>
        <v/>
      </c>
      <c r="Q8" s="33"/>
      <c r="R8" s="1"/>
      <c r="S8" s="173"/>
      <c r="T8" s="86" t="str">
        <f t="shared" si="1"/>
        <v>large</v>
      </c>
      <c r="U8" s="82" t="str">
        <f>'Daily Data Entry'!V43</f>
        <v/>
      </c>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c r="JC8" s="1"/>
      <c r="JD8" s="1"/>
      <c r="JE8" s="1"/>
      <c r="JF8" s="1"/>
      <c r="JG8" s="1"/>
      <c r="JH8" s="1"/>
      <c r="JI8" s="1"/>
      <c r="JJ8" s="1"/>
      <c r="JK8" s="1"/>
      <c r="JL8" s="1"/>
      <c r="JM8" s="1"/>
      <c r="JN8" s="1"/>
      <c r="JO8" s="1"/>
      <c r="JP8" s="1"/>
      <c r="JQ8" s="1"/>
      <c r="JR8" s="1"/>
      <c r="JS8" s="1"/>
      <c r="JT8" s="1"/>
      <c r="JU8" s="1"/>
      <c r="JV8" s="1"/>
      <c r="JW8" s="1"/>
      <c r="JX8" s="1"/>
      <c r="JY8" s="1"/>
      <c r="JZ8" s="1"/>
      <c r="KA8" s="1"/>
      <c r="KB8" s="1"/>
      <c r="KC8" s="1"/>
      <c r="KD8" s="1"/>
      <c r="KE8" s="1"/>
      <c r="KF8" s="1"/>
      <c r="KG8" s="1"/>
      <c r="KH8" s="1"/>
      <c r="KI8" s="1"/>
      <c r="KJ8" s="1"/>
      <c r="KK8" s="1"/>
      <c r="KL8" s="1"/>
      <c r="KM8" s="1"/>
      <c r="KN8" s="1"/>
      <c r="KO8" s="1"/>
      <c r="KP8" s="1"/>
      <c r="KQ8" s="1"/>
      <c r="KR8" s="1"/>
      <c r="KS8" s="1"/>
      <c r="KT8" s="1"/>
      <c r="KU8" s="1"/>
      <c r="KV8" s="1"/>
      <c r="KW8" s="1"/>
      <c r="KX8" s="1"/>
    </row>
    <row r="9" spans="1:310" ht="21.75" customHeight="1" x14ac:dyDescent="0.25">
      <c r="B9" s="196"/>
      <c r="C9" s="92" t="str">
        <f>'Daily Data Entry'!C13</f>
        <v>extra large</v>
      </c>
      <c r="D9" s="90" t="str">
        <f>'Daily Data Entry'!D44</f>
        <v/>
      </c>
      <c r="E9" s="90" t="str">
        <f>'Daily Data Entry'!E44</f>
        <v/>
      </c>
      <c r="F9" s="90" t="str">
        <f>'Daily Data Entry'!F44</f>
        <v/>
      </c>
      <c r="G9" s="90" t="str">
        <f>'Daily Data Entry'!G44</f>
        <v/>
      </c>
      <c r="H9" s="90" t="str">
        <f>'Daily Data Entry'!H44</f>
        <v/>
      </c>
      <c r="I9" s="90" t="str">
        <f>'Daily Data Entry'!I44</f>
        <v/>
      </c>
      <c r="J9" s="90" t="str">
        <f>'Daily Data Entry'!J44</f>
        <v/>
      </c>
      <c r="K9" s="90" t="str">
        <f>'Daily Data Entry'!K44</f>
        <v/>
      </c>
      <c r="L9" s="90" t="str">
        <f>'Daily Data Entry'!L44</f>
        <v/>
      </c>
      <c r="M9" s="90" t="str">
        <f>'Daily Data Entry'!M44</f>
        <v/>
      </c>
      <c r="N9" s="90" t="str">
        <f>'Daily Data Entry'!N44</f>
        <v/>
      </c>
      <c r="O9" s="90" t="str">
        <f>'Daily Data Entry'!O44</f>
        <v/>
      </c>
      <c r="P9" s="91" t="str">
        <f>'Daily Data Entry'!P44</f>
        <v/>
      </c>
      <c r="Q9" s="33"/>
      <c r="R9" s="2"/>
      <c r="S9" s="173"/>
      <c r="T9" s="86" t="str">
        <f t="shared" si="1"/>
        <v>extra large</v>
      </c>
      <c r="U9" s="82" t="str">
        <f>'Daily Data Entry'!V44</f>
        <v/>
      </c>
    </row>
    <row r="10" spans="1:310" ht="21.75" customHeight="1" x14ac:dyDescent="0.25">
      <c r="B10" s="196" t="str">
        <f>'Daily Data Entry'!B14:C14</f>
        <v>N95 Masks</v>
      </c>
      <c r="C10" s="197"/>
      <c r="D10" s="90" t="str">
        <f>'Daily Data Entry'!D45</f>
        <v/>
      </c>
      <c r="E10" s="90" t="str">
        <f>'Daily Data Entry'!E45</f>
        <v/>
      </c>
      <c r="F10" s="90" t="str">
        <f>'Daily Data Entry'!F45</f>
        <v/>
      </c>
      <c r="G10" s="90" t="str">
        <f>'Daily Data Entry'!G45</f>
        <v/>
      </c>
      <c r="H10" s="90" t="str">
        <f>'Daily Data Entry'!H45</f>
        <v/>
      </c>
      <c r="I10" s="90" t="str">
        <f>'Daily Data Entry'!I45</f>
        <v/>
      </c>
      <c r="J10" s="90" t="str">
        <f>'Daily Data Entry'!J45</f>
        <v/>
      </c>
      <c r="K10" s="90" t="str">
        <f>'Daily Data Entry'!K45</f>
        <v/>
      </c>
      <c r="L10" s="90" t="str">
        <f>'Daily Data Entry'!L45</f>
        <v/>
      </c>
      <c r="M10" s="90" t="str">
        <f>'Daily Data Entry'!M45</f>
        <v/>
      </c>
      <c r="N10" s="90" t="str">
        <f>'Daily Data Entry'!N45</f>
        <v/>
      </c>
      <c r="O10" s="90" t="str">
        <f>'Daily Data Entry'!O45</f>
        <v/>
      </c>
      <c r="P10" s="91" t="str">
        <f>'Daily Data Entry'!P45</f>
        <v/>
      </c>
      <c r="Q10" s="33"/>
      <c r="R10" s="2"/>
      <c r="S10" s="173" t="str">
        <f t="shared" ref="S10:S19" si="2">B10</f>
        <v>N95 Masks</v>
      </c>
      <c r="T10" s="174"/>
      <c r="U10" s="82" t="str">
        <f>'Daily Data Entry'!V45</f>
        <v/>
      </c>
    </row>
    <row r="11" spans="1:310" ht="21.75" customHeight="1" x14ac:dyDescent="0.25">
      <c r="B11" s="196" t="str">
        <f>'Daily Data Entry'!B15:C15</f>
        <v>Surgical Masks</v>
      </c>
      <c r="C11" s="197"/>
      <c r="D11" s="90" t="str">
        <f>'Daily Data Entry'!D46</f>
        <v/>
      </c>
      <c r="E11" s="90" t="str">
        <f>'Daily Data Entry'!E46</f>
        <v/>
      </c>
      <c r="F11" s="90" t="str">
        <f>'Daily Data Entry'!F46</f>
        <v/>
      </c>
      <c r="G11" s="90" t="str">
        <f>'Daily Data Entry'!G46</f>
        <v/>
      </c>
      <c r="H11" s="90" t="str">
        <f>'Daily Data Entry'!H46</f>
        <v/>
      </c>
      <c r="I11" s="90" t="str">
        <f>'Daily Data Entry'!I46</f>
        <v/>
      </c>
      <c r="J11" s="90" t="str">
        <f>'Daily Data Entry'!J46</f>
        <v/>
      </c>
      <c r="K11" s="90" t="str">
        <f>'Daily Data Entry'!K46</f>
        <v/>
      </c>
      <c r="L11" s="90" t="str">
        <f>'Daily Data Entry'!L46</f>
        <v/>
      </c>
      <c r="M11" s="90" t="str">
        <f>'Daily Data Entry'!M46</f>
        <v/>
      </c>
      <c r="N11" s="90" t="str">
        <f>'Daily Data Entry'!N46</f>
        <v/>
      </c>
      <c r="O11" s="90" t="str">
        <f>'Daily Data Entry'!O46</f>
        <v/>
      </c>
      <c r="P11" s="91" t="str">
        <f>'Daily Data Entry'!P46</f>
        <v/>
      </c>
      <c r="Q11" s="33"/>
      <c r="R11" s="2"/>
      <c r="S11" s="173" t="str">
        <f t="shared" si="2"/>
        <v>Surgical Masks</v>
      </c>
      <c r="T11" s="174"/>
      <c r="U11" s="82" t="str">
        <f>'Daily Data Entry'!V46</f>
        <v/>
      </c>
    </row>
    <row r="12" spans="1:310" ht="21.75" customHeight="1" x14ac:dyDescent="0.25">
      <c r="B12" s="196" t="str">
        <f>'Daily Data Entry'!B66:C66</f>
        <v>Respirators</v>
      </c>
      <c r="C12" s="197"/>
      <c r="D12" s="90" t="str">
        <f>'Daily Data Entry'!D47</f>
        <v/>
      </c>
      <c r="E12" s="90" t="str">
        <f>'Daily Data Entry'!E47</f>
        <v/>
      </c>
      <c r="F12" s="90" t="str">
        <f>'Daily Data Entry'!F47</f>
        <v/>
      </c>
      <c r="G12" s="90" t="str">
        <f>'Daily Data Entry'!G47</f>
        <v/>
      </c>
      <c r="H12" s="90" t="str">
        <f>'Daily Data Entry'!H47</f>
        <v/>
      </c>
      <c r="I12" s="90" t="str">
        <f>'Daily Data Entry'!I47</f>
        <v/>
      </c>
      <c r="J12" s="90" t="str">
        <f>'Daily Data Entry'!J47</f>
        <v/>
      </c>
      <c r="K12" s="90" t="str">
        <f>'Daily Data Entry'!K47</f>
        <v/>
      </c>
      <c r="L12" s="90" t="str">
        <f>'Daily Data Entry'!L47</f>
        <v/>
      </c>
      <c r="M12" s="90" t="str">
        <f>'Daily Data Entry'!M47</f>
        <v/>
      </c>
      <c r="N12" s="90" t="str">
        <f>'Daily Data Entry'!N47</f>
        <v/>
      </c>
      <c r="O12" s="90" t="str">
        <f>'Daily Data Entry'!O47</f>
        <v/>
      </c>
      <c r="P12" s="91" t="str">
        <f>'Daily Data Entry'!P47</f>
        <v/>
      </c>
      <c r="Q12" s="33"/>
      <c r="R12" s="2"/>
      <c r="S12" s="173" t="str">
        <f t="shared" si="2"/>
        <v>Respirators</v>
      </c>
      <c r="T12" s="174"/>
      <c r="U12" s="82" t="str">
        <f>'Daily Data Entry'!V47</f>
        <v/>
      </c>
    </row>
    <row r="13" spans="1:310" ht="21.75" customHeight="1" x14ac:dyDescent="0.25">
      <c r="B13" s="196" t="str">
        <f>'Daily Data Entry'!B17:C17</f>
        <v>Face Shields</v>
      </c>
      <c r="C13" s="197"/>
      <c r="D13" s="90" t="str">
        <f>'Daily Data Entry'!D48</f>
        <v/>
      </c>
      <c r="E13" s="90" t="str">
        <f>'Daily Data Entry'!E48</f>
        <v/>
      </c>
      <c r="F13" s="90" t="str">
        <f>'Daily Data Entry'!F48</f>
        <v/>
      </c>
      <c r="G13" s="90" t="str">
        <f>'Daily Data Entry'!G48</f>
        <v/>
      </c>
      <c r="H13" s="90" t="str">
        <f>'Daily Data Entry'!H48</f>
        <v/>
      </c>
      <c r="I13" s="90" t="str">
        <f>'Daily Data Entry'!I48</f>
        <v/>
      </c>
      <c r="J13" s="90" t="str">
        <f>'Daily Data Entry'!J48</f>
        <v/>
      </c>
      <c r="K13" s="90" t="str">
        <f>'Daily Data Entry'!K48</f>
        <v/>
      </c>
      <c r="L13" s="90" t="str">
        <f>'Daily Data Entry'!L48</f>
        <v/>
      </c>
      <c r="M13" s="90" t="str">
        <f>'Daily Data Entry'!M48</f>
        <v/>
      </c>
      <c r="N13" s="90" t="str">
        <f>'Daily Data Entry'!N48</f>
        <v/>
      </c>
      <c r="O13" s="90" t="str">
        <f>'Daily Data Entry'!O48</f>
        <v/>
      </c>
      <c r="P13" s="91" t="str">
        <f>'Daily Data Entry'!P48</f>
        <v/>
      </c>
      <c r="Q13" s="33"/>
      <c r="R13" s="2"/>
      <c r="S13" s="173" t="str">
        <f t="shared" si="2"/>
        <v>Face Shields</v>
      </c>
      <c r="T13" s="174"/>
      <c r="U13" s="82" t="str">
        <f>'Daily Data Entry'!V48</f>
        <v/>
      </c>
    </row>
    <row r="14" spans="1:310" ht="21.75" customHeight="1" x14ac:dyDescent="0.25">
      <c r="B14" s="196" t="str">
        <f>'Daily Data Entry'!B18:C18</f>
        <v>Eye Protection - Goggles</v>
      </c>
      <c r="C14" s="197"/>
      <c r="D14" s="90" t="str">
        <f>'Daily Data Entry'!D49</f>
        <v/>
      </c>
      <c r="E14" s="90" t="str">
        <f>'Daily Data Entry'!E49</f>
        <v/>
      </c>
      <c r="F14" s="90" t="str">
        <f>'Daily Data Entry'!F49</f>
        <v/>
      </c>
      <c r="G14" s="90" t="str">
        <f>'Daily Data Entry'!G49</f>
        <v/>
      </c>
      <c r="H14" s="90" t="str">
        <f>'Daily Data Entry'!H49</f>
        <v/>
      </c>
      <c r="I14" s="90" t="str">
        <f>'Daily Data Entry'!I49</f>
        <v/>
      </c>
      <c r="J14" s="90" t="str">
        <f>'Daily Data Entry'!J49</f>
        <v/>
      </c>
      <c r="K14" s="90" t="str">
        <f>'Daily Data Entry'!K49</f>
        <v/>
      </c>
      <c r="L14" s="90" t="str">
        <f>'Daily Data Entry'!L49</f>
        <v/>
      </c>
      <c r="M14" s="90" t="str">
        <f>'Daily Data Entry'!M49</f>
        <v/>
      </c>
      <c r="N14" s="90" t="str">
        <f>'Daily Data Entry'!N49</f>
        <v/>
      </c>
      <c r="O14" s="90" t="str">
        <f>'Daily Data Entry'!O49</f>
        <v/>
      </c>
      <c r="P14" s="91" t="str">
        <f>'Daily Data Entry'!P49</f>
        <v/>
      </c>
      <c r="Q14" s="33"/>
      <c r="R14" s="2"/>
      <c r="S14" s="173" t="str">
        <f t="shared" si="2"/>
        <v>Eye Protection - Goggles</v>
      </c>
      <c r="T14" s="174"/>
      <c r="U14" s="82" t="str">
        <f>'Daily Data Entry'!V49</f>
        <v/>
      </c>
    </row>
    <row r="15" spans="1:310" ht="21.75" customHeight="1" x14ac:dyDescent="0.25">
      <c r="B15" s="196" t="str">
        <f>'Daily Data Entry'!B19:C19</f>
        <v>Disposable Gowns</v>
      </c>
      <c r="C15" s="197"/>
      <c r="D15" s="90" t="str">
        <f>'Daily Data Entry'!D50</f>
        <v/>
      </c>
      <c r="E15" s="90" t="str">
        <f>'Daily Data Entry'!E50</f>
        <v/>
      </c>
      <c r="F15" s="90" t="str">
        <f>'Daily Data Entry'!F50</f>
        <v/>
      </c>
      <c r="G15" s="90" t="str">
        <f>'Daily Data Entry'!G50</f>
        <v/>
      </c>
      <c r="H15" s="90" t="str">
        <f>'Daily Data Entry'!H50</f>
        <v/>
      </c>
      <c r="I15" s="90" t="str">
        <f>'Daily Data Entry'!I50</f>
        <v/>
      </c>
      <c r="J15" s="90" t="str">
        <f>'Daily Data Entry'!J50</f>
        <v/>
      </c>
      <c r="K15" s="90" t="str">
        <f>'Daily Data Entry'!K50</f>
        <v/>
      </c>
      <c r="L15" s="90" t="str">
        <f>'Daily Data Entry'!L50</f>
        <v/>
      </c>
      <c r="M15" s="90" t="str">
        <f>'Daily Data Entry'!M50</f>
        <v/>
      </c>
      <c r="N15" s="90" t="str">
        <f>'Daily Data Entry'!N50</f>
        <v/>
      </c>
      <c r="O15" s="90" t="str">
        <f>'Daily Data Entry'!O50</f>
        <v/>
      </c>
      <c r="P15" s="91" t="str">
        <f>'Daily Data Entry'!P50</f>
        <v/>
      </c>
      <c r="Q15" s="33"/>
      <c r="R15" s="2"/>
      <c r="S15" s="173" t="str">
        <f t="shared" si="2"/>
        <v>Disposable Gowns</v>
      </c>
      <c r="T15" s="174"/>
      <c r="U15" s="82" t="str">
        <f>'Daily Data Entry'!V50</f>
        <v/>
      </c>
    </row>
    <row r="16" spans="1:310" ht="21.75" customHeight="1" x14ac:dyDescent="0.25">
      <c r="B16" s="196" t="str">
        <f>'Daily Data Entry'!B20:C20</f>
        <v>Fluid Resistant Gowns</v>
      </c>
      <c r="C16" s="197"/>
      <c r="D16" s="90" t="str">
        <f>'Daily Data Entry'!D51</f>
        <v/>
      </c>
      <c r="E16" s="90" t="str">
        <f>'Daily Data Entry'!E51</f>
        <v/>
      </c>
      <c r="F16" s="90" t="str">
        <f>'Daily Data Entry'!F51</f>
        <v/>
      </c>
      <c r="G16" s="90" t="str">
        <f>'Daily Data Entry'!G51</f>
        <v/>
      </c>
      <c r="H16" s="90" t="str">
        <f>'Daily Data Entry'!H51</f>
        <v/>
      </c>
      <c r="I16" s="90" t="str">
        <f>'Daily Data Entry'!I51</f>
        <v/>
      </c>
      <c r="J16" s="90" t="str">
        <f>'Daily Data Entry'!J51</f>
        <v/>
      </c>
      <c r="K16" s="90" t="str">
        <f>'Daily Data Entry'!K51</f>
        <v/>
      </c>
      <c r="L16" s="90" t="str">
        <f>'Daily Data Entry'!L51</f>
        <v/>
      </c>
      <c r="M16" s="90" t="str">
        <f>'Daily Data Entry'!M51</f>
        <v/>
      </c>
      <c r="N16" s="90" t="str">
        <f>'Daily Data Entry'!N51</f>
        <v/>
      </c>
      <c r="O16" s="90" t="str">
        <f>'Daily Data Entry'!O51</f>
        <v/>
      </c>
      <c r="P16" s="91" t="str">
        <f>'Daily Data Entry'!P51</f>
        <v/>
      </c>
      <c r="Q16" s="33"/>
      <c r="R16" s="2"/>
      <c r="S16" s="173" t="str">
        <f t="shared" si="2"/>
        <v>Fluid Resistant Gowns</v>
      </c>
      <c r="T16" s="174"/>
      <c r="U16" s="82" t="str">
        <f>'Daily Data Entry'!V51</f>
        <v/>
      </c>
    </row>
    <row r="17" spans="1:22" ht="21.75" customHeight="1" x14ac:dyDescent="0.25">
      <c r="B17" s="196" t="str">
        <f>'Daily Data Entry'!B21:C21</f>
        <v>Other</v>
      </c>
      <c r="C17" s="197"/>
      <c r="D17" s="90" t="str">
        <f>'Daily Data Entry'!D52</f>
        <v/>
      </c>
      <c r="E17" s="90" t="str">
        <f>'Daily Data Entry'!E52</f>
        <v/>
      </c>
      <c r="F17" s="90" t="str">
        <f>'Daily Data Entry'!F52</f>
        <v/>
      </c>
      <c r="G17" s="90" t="str">
        <f>'Daily Data Entry'!G52</f>
        <v/>
      </c>
      <c r="H17" s="90" t="str">
        <f>'Daily Data Entry'!H52</f>
        <v/>
      </c>
      <c r="I17" s="90" t="str">
        <f>'Daily Data Entry'!I52</f>
        <v/>
      </c>
      <c r="J17" s="90" t="str">
        <f>'Daily Data Entry'!J52</f>
        <v/>
      </c>
      <c r="K17" s="90" t="str">
        <f>'Daily Data Entry'!K52</f>
        <v/>
      </c>
      <c r="L17" s="90" t="str">
        <f>'Daily Data Entry'!L52</f>
        <v/>
      </c>
      <c r="M17" s="90" t="str">
        <f>'Daily Data Entry'!M52</f>
        <v/>
      </c>
      <c r="N17" s="90" t="str">
        <f>'Daily Data Entry'!N52</f>
        <v/>
      </c>
      <c r="O17" s="90" t="str">
        <f>'Daily Data Entry'!O52</f>
        <v/>
      </c>
      <c r="P17" s="91" t="str">
        <f>'Daily Data Entry'!P52</f>
        <v/>
      </c>
      <c r="Q17" s="33"/>
      <c r="R17" s="2"/>
      <c r="S17" s="173" t="str">
        <f t="shared" si="2"/>
        <v>Other</v>
      </c>
      <c r="T17" s="174"/>
      <c r="U17" s="82" t="str">
        <f>'Daily Data Entry'!V52</f>
        <v/>
      </c>
    </row>
    <row r="18" spans="1:22" ht="21.75" customHeight="1" x14ac:dyDescent="0.25">
      <c r="B18" s="198" t="str">
        <f>'Daily Data Entry'!B22:C22</f>
        <v xml:space="preserve">Other </v>
      </c>
      <c r="C18" s="197"/>
      <c r="D18" s="90" t="str">
        <f>'Daily Data Entry'!D53</f>
        <v/>
      </c>
      <c r="E18" s="90" t="str">
        <f>'Daily Data Entry'!E53</f>
        <v/>
      </c>
      <c r="F18" s="90" t="str">
        <f>'Daily Data Entry'!F53</f>
        <v/>
      </c>
      <c r="G18" s="90" t="str">
        <f>'Daily Data Entry'!G53</f>
        <v/>
      </c>
      <c r="H18" s="90" t="str">
        <f>'Daily Data Entry'!H53</f>
        <v/>
      </c>
      <c r="I18" s="90" t="str">
        <f>'Daily Data Entry'!I53</f>
        <v/>
      </c>
      <c r="J18" s="90" t="str">
        <f>'Daily Data Entry'!J53</f>
        <v/>
      </c>
      <c r="K18" s="90" t="str">
        <f>'Daily Data Entry'!K53</f>
        <v/>
      </c>
      <c r="L18" s="90" t="str">
        <f>'Daily Data Entry'!L53</f>
        <v/>
      </c>
      <c r="M18" s="90" t="str">
        <f>'Daily Data Entry'!M53</f>
        <v/>
      </c>
      <c r="N18" s="90" t="str">
        <f>'Daily Data Entry'!N53</f>
        <v/>
      </c>
      <c r="O18" s="90" t="str">
        <f>'Daily Data Entry'!O53</f>
        <v/>
      </c>
      <c r="P18" s="91" t="str">
        <f>'Daily Data Entry'!P53</f>
        <v/>
      </c>
      <c r="Q18" s="33"/>
      <c r="R18" s="2"/>
      <c r="S18" s="173" t="str">
        <f t="shared" si="2"/>
        <v xml:space="preserve">Other </v>
      </c>
      <c r="T18" s="174"/>
      <c r="U18" s="82" t="str">
        <f>'Daily Data Entry'!V53</f>
        <v/>
      </c>
    </row>
    <row r="19" spans="1:22" ht="21.75" customHeight="1" thickBot="1" x14ac:dyDescent="0.3">
      <c r="B19" s="199" t="str">
        <f>'Daily Data Entry'!B23:C23</f>
        <v xml:space="preserve">Other </v>
      </c>
      <c r="C19" s="200"/>
      <c r="D19" s="93" t="str">
        <f>'Daily Data Entry'!D54</f>
        <v/>
      </c>
      <c r="E19" s="93" t="str">
        <f>'Daily Data Entry'!E54</f>
        <v/>
      </c>
      <c r="F19" s="93" t="str">
        <f>'Daily Data Entry'!F54</f>
        <v/>
      </c>
      <c r="G19" s="93" t="str">
        <f>'Daily Data Entry'!G54</f>
        <v/>
      </c>
      <c r="H19" s="93" t="str">
        <f>'Daily Data Entry'!H54</f>
        <v/>
      </c>
      <c r="I19" s="93" t="str">
        <f>'Daily Data Entry'!I54</f>
        <v/>
      </c>
      <c r="J19" s="93" t="str">
        <f>'Daily Data Entry'!J54</f>
        <v/>
      </c>
      <c r="K19" s="93" t="str">
        <f>'Daily Data Entry'!K54</f>
        <v/>
      </c>
      <c r="L19" s="93" t="str">
        <f>'Daily Data Entry'!L54</f>
        <v/>
      </c>
      <c r="M19" s="93" t="str">
        <f>'Daily Data Entry'!M54</f>
        <v/>
      </c>
      <c r="N19" s="93" t="str">
        <f>'Daily Data Entry'!N54</f>
        <v/>
      </c>
      <c r="O19" s="93" t="str">
        <f>'Daily Data Entry'!O54</f>
        <v/>
      </c>
      <c r="P19" s="94" t="str">
        <f>'Daily Data Entry'!P54</f>
        <v/>
      </c>
      <c r="Q19" s="33"/>
      <c r="R19" s="2"/>
      <c r="S19" s="213" t="str">
        <f t="shared" si="2"/>
        <v xml:space="preserve">Other </v>
      </c>
      <c r="T19" s="177"/>
      <c r="U19" s="84" t="str">
        <f>'Daily Data Entry'!V54</f>
        <v/>
      </c>
    </row>
    <row r="20" spans="1:22" ht="13.5" customHeight="1" thickBot="1" x14ac:dyDescent="0.3">
      <c r="A20" s="1"/>
      <c r="B20" s="14"/>
      <c r="C20" s="15"/>
      <c r="D20" s="15"/>
      <c r="E20" s="16"/>
      <c r="F20" s="13"/>
      <c r="G20" s="13"/>
      <c r="H20" s="13"/>
      <c r="I20" s="13"/>
      <c r="J20" s="13"/>
      <c r="K20" s="13"/>
      <c r="L20" s="13"/>
      <c r="M20" s="13"/>
      <c r="N20" s="13"/>
      <c r="O20" s="13"/>
      <c r="P20" s="13"/>
      <c r="Q20" s="13"/>
      <c r="R20" s="13"/>
      <c r="S20" s="13"/>
      <c r="T20" s="30"/>
      <c r="U20" s="30"/>
      <c r="V20" s="30"/>
    </row>
    <row r="21" spans="1:22" ht="34.5" customHeight="1" thickBot="1" x14ac:dyDescent="0.3">
      <c r="B21" s="220" t="s">
        <v>51</v>
      </c>
      <c r="C21" s="221"/>
      <c r="D21" s="221"/>
      <c r="E21" s="221"/>
      <c r="F21" s="221"/>
      <c r="G21" s="221"/>
      <c r="H21" s="221"/>
      <c r="I21" s="221"/>
      <c r="J21" s="221"/>
      <c r="K21" s="221"/>
      <c r="L21" s="221"/>
      <c r="M21" s="221"/>
      <c r="N21" s="221"/>
      <c r="O21" s="221"/>
      <c r="P21" s="221"/>
      <c r="Q21" s="222"/>
      <c r="R21" s="54"/>
      <c r="S21" s="217" t="s">
        <v>38</v>
      </c>
      <c r="T21" s="218"/>
      <c r="U21" s="219"/>
    </row>
    <row r="22" spans="1:22" s="18" customFormat="1" ht="21.75" customHeight="1" x14ac:dyDescent="0.25">
      <c r="B22" s="201" t="s">
        <v>14</v>
      </c>
      <c r="C22" s="202"/>
      <c r="D22" s="97" t="s">
        <v>0</v>
      </c>
      <c r="E22" s="97" t="s">
        <v>1</v>
      </c>
      <c r="F22" s="98" t="s">
        <v>2</v>
      </c>
      <c r="G22" s="98" t="s">
        <v>3</v>
      </c>
      <c r="H22" s="98" t="s">
        <v>4</v>
      </c>
      <c r="I22" s="98" t="s">
        <v>5</v>
      </c>
      <c r="J22" s="98" t="s">
        <v>34</v>
      </c>
      <c r="K22" s="98" t="s">
        <v>7</v>
      </c>
      <c r="L22" s="98" t="s">
        <v>8</v>
      </c>
      <c r="M22" s="98" t="s">
        <v>9</v>
      </c>
      <c r="N22" s="98" t="s">
        <v>10</v>
      </c>
      <c r="O22" s="98" t="s">
        <v>11</v>
      </c>
      <c r="P22" s="98" t="s">
        <v>12</v>
      </c>
      <c r="Q22" s="99" t="s">
        <v>13</v>
      </c>
      <c r="R22" s="34"/>
      <c r="S22" s="227" t="s">
        <v>14</v>
      </c>
      <c r="T22" s="228"/>
      <c r="U22" s="96" t="s">
        <v>48</v>
      </c>
    </row>
    <row r="23" spans="1:22" ht="21.75" customHeight="1" x14ac:dyDescent="0.25">
      <c r="B23" s="194" t="str">
        <f>B5</f>
        <v>Washable Gowns</v>
      </c>
      <c r="C23" s="195"/>
      <c r="D23" s="100" t="e">
        <f>'Daily Data Entry'!D59</f>
        <v>#VALUE!</v>
      </c>
      <c r="E23" s="100" t="e">
        <f>'Daily Data Entry'!E59</f>
        <v>#VALUE!</v>
      </c>
      <c r="F23" s="100" t="e">
        <f>'Daily Data Entry'!F59</f>
        <v>#VALUE!</v>
      </c>
      <c r="G23" s="100" t="e">
        <f>'Daily Data Entry'!G59</f>
        <v>#VALUE!</v>
      </c>
      <c r="H23" s="100" t="e">
        <f>'Daily Data Entry'!H59</f>
        <v>#VALUE!</v>
      </c>
      <c r="I23" s="100" t="e">
        <f>'Daily Data Entry'!I59</f>
        <v>#VALUE!</v>
      </c>
      <c r="J23" s="100" t="e">
        <f>'Daily Data Entry'!J59</f>
        <v>#VALUE!</v>
      </c>
      <c r="K23" s="100" t="e">
        <f>'Daily Data Entry'!K59</f>
        <v>#VALUE!</v>
      </c>
      <c r="L23" s="100" t="e">
        <f>'Daily Data Entry'!L59</f>
        <v>#VALUE!</v>
      </c>
      <c r="M23" s="100" t="e">
        <f>'Daily Data Entry'!M59</f>
        <v>#VALUE!</v>
      </c>
      <c r="N23" s="100" t="e">
        <f>'Daily Data Entry'!N59</f>
        <v>#VALUE!</v>
      </c>
      <c r="O23" s="100" t="e">
        <f>'Daily Data Entry'!O59</f>
        <v>#VALUE!</v>
      </c>
      <c r="P23" s="100" t="e">
        <f>'Daily Data Entry'!P59</f>
        <v>#VALUE!</v>
      </c>
      <c r="Q23" s="101" t="e">
        <f>'Daily Data Entry'!Q59</f>
        <v>#VALUE!</v>
      </c>
      <c r="R23" s="35"/>
      <c r="S23" s="172" t="str">
        <f t="shared" ref="S23" si="3">B5</f>
        <v>Washable Gowns</v>
      </c>
      <c r="T23" s="169"/>
      <c r="U23" s="82" t="str">
        <f>'Daily Data Entry'!V59</f>
        <v/>
      </c>
    </row>
    <row r="24" spans="1:22" ht="21.75" customHeight="1" x14ac:dyDescent="0.25">
      <c r="B24" s="203" t="s">
        <v>49</v>
      </c>
      <c r="C24" s="102" t="str">
        <f>IF(C6="","",C6)</f>
        <v>small</v>
      </c>
      <c r="D24" s="100" t="e">
        <f>'Daily Data Entry'!D60</f>
        <v>#VALUE!</v>
      </c>
      <c r="E24" s="100" t="e">
        <f>'Daily Data Entry'!E60</f>
        <v>#VALUE!</v>
      </c>
      <c r="F24" s="100" t="e">
        <f>'Daily Data Entry'!F60</f>
        <v>#VALUE!</v>
      </c>
      <c r="G24" s="100" t="e">
        <f>'Daily Data Entry'!G60</f>
        <v>#VALUE!</v>
      </c>
      <c r="H24" s="100" t="e">
        <f>'Daily Data Entry'!H60</f>
        <v>#VALUE!</v>
      </c>
      <c r="I24" s="100" t="e">
        <f>'Daily Data Entry'!I60</f>
        <v>#VALUE!</v>
      </c>
      <c r="J24" s="100" t="e">
        <f>'Daily Data Entry'!J60</f>
        <v>#VALUE!</v>
      </c>
      <c r="K24" s="100" t="e">
        <f>'Daily Data Entry'!K60</f>
        <v>#VALUE!</v>
      </c>
      <c r="L24" s="100" t="e">
        <f>'Daily Data Entry'!L60</f>
        <v>#VALUE!</v>
      </c>
      <c r="M24" s="100" t="e">
        <f>'Daily Data Entry'!M60</f>
        <v>#VALUE!</v>
      </c>
      <c r="N24" s="100" t="e">
        <f>'Daily Data Entry'!N60</f>
        <v>#VALUE!</v>
      </c>
      <c r="O24" s="100" t="e">
        <f>'Daily Data Entry'!O60</f>
        <v>#VALUE!</v>
      </c>
      <c r="P24" s="100" t="e">
        <f>'Daily Data Entry'!P60</f>
        <v>#VALUE!</v>
      </c>
      <c r="Q24" s="101" t="e">
        <f>'Daily Data Entry'!Q60</f>
        <v>#VALUE!</v>
      </c>
      <c r="R24" s="35"/>
      <c r="S24" s="186" t="s">
        <v>49</v>
      </c>
      <c r="T24" s="83" t="str">
        <f>C6</f>
        <v>small</v>
      </c>
      <c r="U24" s="82" t="str">
        <f>'Daily Data Entry'!V60</f>
        <v/>
      </c>
    </row>
    <row r="25" spans="1:22" ht="21.75" customHeight="1" x14ac:dyDescent="0.25">
      <c r="B25" s="194"/>
      <c r="C25" s="102" t="str">
        <f>IF(C7="","",C7)</f>
        <v>medium</v>
      </c>
      <c r="D25" s="100" t="e">
        <f>'Daily Data Entry'!D61</f>
        <v>#VALUE!</v>
      </c>
      <c r="E25" s="100" t="e">
        <f>'Daily Data Entry'!E61</f>
        <v>#VALUE!</v>
      </c>
      <c r="F25" s="100" t="e">
        <f>'Daily Data Entry'!F61</f>
        <v>#VALUE!</v>
      </c>
      <c r="G25" s="100" t="e">
        <f>'Daily Data Entry'!G61</f>
        <v>#VALUE!</v>
      </c>
      <c r="H25" s="100" t="e">
        <f>'Daily Data Entry'!H61</f>
        <v>#VALUE!</v>
      </c>
      <c r="I25" s="100" t="e">
        <f>'Daily Data Entry'!I61</f>
        <v>#VALUE!</v>
      </c>
      <c r="J25" s="100" t="e">
        <f>'Daily Data Entry'!J61</f>
        <v>#VALUE!</v>
      </c>
      <c r="K25" s="100" t="e">
        <f>'Daily Data Entry'!K61</f>
        <v>#VALUE!</v>
      </c>
      <c r="L25" s="100" t="e">
        <f>'Daily Data Entry'!L61</f>
        <v>#VALUE!</v>
      </c>
      <c r="M25" s="100" t="e">
        <f>'Daily Data Entry'!M61</f>
        <v>#VALUE!</v>
      </c>
      <c r="N25" s="100" t="e">
        <f>'Daily Data Entry'!N61</f>
        <v>#VALUE!</v>
      </c>
      <c r="O25" s="100" t="e">
        <f>'Daily Data Entry'!O61</f>
        <v>#VALUE!</v>
      </c>
      <c r="P25" s="100" t="e">
        <f>'Daily Data Entry'!P61</f>
        <v>#VALUE!</v>
      </c>
      <c r="Q25" s="101" t="e">
        <f>'Daily Data Entry'!Q61</f>
        <v>#VALUE!</v>
      </c>
      <c r="R25" s="35"/>
      <c r="S25" s="172"/>
      <c r="T25" s="83" t="str">
        <f>C7</f>
        <v>medium</v>
      </c>
      <c r="U25" s="82" t="str">
        <f>'Daily Data Entry'!V61</f>
        <v/>
      </c>
    </row>
    <row r="26" spans="1:22" s="1" customFormat="1" ht="21.75" customHeight="1" x14ac:dyDescent="0.25">
      <c r="A26" s="3"/>
      <c r="B26" s="194"/>
      <c r="C26" s="102" t="str">
        <f>IF(C8="","",C8)</f>
        <v>large</v>
      </c>
      <c r="D26" s="100" t="e">
        <f>'Daily Data Entry'!D62</f>
        <v>#VALUE!</v>
      </c>
      <c r="E26" s="100" t="e">
        <f>'Daily Data Entry'!E62</f>
        <v>#VALUE!</v>
      </c>
      <c r="F26" s="100" t="e">
        <f>'Daily Data Entry'!F62</f>
        <v>#VALUE!</v>
      </c>
      <c r="G26" s="100" t="e">
        <f>'Daily Data Entry'!G62</f>
        <v>#VALUE!</v>
      </c>
      <c r="H26" s="100" t="e">
        <f>'Daily Data Entry'!H62</f>
        <v>#VALUE!</v>
      </c>
      <c r="I26" s="100" t="e">
        <f>'Daily Data Entry'!I62</f>
        <v>#VALUE!</v>
      </c>
      <c r="J26" s="100" t="e">
        <f>'Daily Data Entry'!J62</f>
        <v>#VALUE!</v>
      </c>
      <c r="K26" s="100" t="e">
        <f>'Daily Data Entry'!K62</f>
        <v>#VALUE!</v>
      </c>
      <c r="L26" s="100" t="e">
        <f>'Daily Data Entry'!L62</f>
        <v>#VALUE!</v>
      </c>
      <c r="M26" s="100" t="e">
        <f>'Daily Data Entry'!M62</f>
        <v>#VALUE!</v>
      </c>
      <c r="N26" s="100" t="e">
        <f>'Daily Data Entry'!N62</f>
        <v>#VALUE!</v>
      </c>
      <c r="O26" s="100" t="e">
        <f>'Daily Data Entry'!O62</f>
        <v>#VALUE!</v>
      </c>
      <c r="P26" s="100" t="e">
        <f>'Daily Data Entry'!P62</f>
        <v>#VALUE!</v>
      </c>
      <c r="Q26" s="101" t="e">
        <f>'Daily Data Entry'!Q62</f>
        <v>#VALUE!</v>
      </c>
      <c r="R26" s="35"/>
      <c r="S26" s="172"/>
      <c r="T26" s="83" t="str">
        <f>C8</f>
        <v>large</v>
      </c>
      <c r="U26" s="82" t="str">
        <f>'Daily Data Entry'!V62</f>
        <v/>
      </c>
    </row>
    <row r="27" spans="1:22" ht="21.75" customHeight="1" x14ac:dyDescent="0.25">
      <c r="B27" s="194"/>
      <c r="C27" s="102" t="str">
        <f>IF(C9="","",C9)</f>
        <v>extra large</v>
      </c>
      <c r="D27" s="100" t="e">
        <f>'Daily Data Entry'!D63</f>
        <v>#VALUE!</v>
      </c>
      <c r="E27" s="100" t="e">
        <f>'Daily Data Entry'!E63</f>
        <v>#VALUE!</v>
      </c>
      <c r="F27" s="100" t="e">
        <f>'Daily Data Entry'!F63</f>
        <v>#VALUE!</v>
      </c>
      <c r="G27" s="100" t="e">
        <f>'Daily Data Entry'!G63</f>
        <v>#VALUE!</v>
      </c>
      <c r="H27" s="100" t="e">
        <f>'Daily Data Entry'!H63</f>
        <v>#VALUE!</v>
      </c>
      <c r="I27" s="100" t="e">
        <f>'Daily Data Entry'!I63</f>
        <v>#VALUE!</v>
      </c>
      <c r="J27" s="100" t="e">
        <f>'Daily Data Entry'!J63</f>
        <v>#VALUE!</v>
      </c>
      <c r="K27" s="100" t="e">
        <f>'Daily Data Entry'!K63</f>
        <v>#VALUE!</v>
      </c>
      <c r="L27" s="100" t="e">
        <f>'Daily Data Entry'!L63</f>
        <v>#VALUE!</v>
      </c>
      <c r="M27" s="100" t="e">
        <f>'Daily Data Entry'!M63</f>
        <v>#VALUE!</v>
      </c>
      <c r="N27" s="100" t="e">
        <f>'Daily Data Entry'!N63</f>
        <v>#VALUE!</v>
      </c>
      <c r="O27" s="100" t="e">
        <f>'Daily Data Entry'!O63</f>
        <v>#VALUE!</v>
      </c>
      <c r="P27" s="100" t="e">
        <f>'Daily Data Entry'!P63</f>
        <v>#VALUE!</v>
      </c>
      <c r="Q27" s="101" t="e">
        <f>'Daily Data Entry'!Q63</f>
        <v>#VALUE!</v>
      </c>
      <c r="R27" s="35"/>
      <c r="S27" s="172"/>
      <c r="T27" s="83" t="str">
        <f>C9</f>
        <v>extra large</v>
      </c>
      <c r="U27" s="82" t="str">
        <f>'Daily Data Entry'!V63</f>
        <v/>
      </c>
    </row>
    <row r="28" spans="1:22" ht="21.75" customHeight="1" x14ac:dyDescent="0.25">
      <c r="B28" s="194" t="str">
        <f>B10</f>
        <v>N95 Masks</v>
      </c>
      <c r="C28" s="195"/>
      <c r="D28" s="100" t="e">
        <f>'Daily Data Entry'!D64</f>
        <v>#VALUE!</v>
      </c>
      <c r="E28" s="100" t="e">
        <f>'Daily Data Entry'!E64</f>
        <v>#VALUE!</v>
      </c>
      <c r="F28" s="100" t="e">
        <f>'Daily Data Entry'!F64</f>
        <v>#VALUE!</v>
      </c>
      <c r="G28" s="100" t="e">
        <f>'Daily Data Entry'!G64</f>
        <v>#VALUE!</v>
      </c>
      <c r="H28" s="100" t="e">
        <f>'Daily Data Entry'!H64</f>
        <v>#VALUE!</v>
      </c>
      <c r="I28" s="100" t="e">
        <f>'Daily Data Entry'!I64</f>
        <v>#VALUE!</v>
      </c>
      <c r="J28" s="100" t="e">
        <f>'Daily Data Entry'!J64</f>
        <v>#VALUE!</v>
      </c>
      <c r="K28" s="100" t="e">
        <f>'Daily Data Entry'!K64</f>
        <v>#VALUE!</v>
      </c>
      <c r="L28" s="100" t="e">
        <f>'Daily Data Entry'!L64</f>
        <v>#VALUE!</v>
      </c>
      <c r="M28" s="100" t="e">
        <f>'Daily Data Entry'!M64</f>
        <v>#VALUE!</v>
      </c>
      <c r="N28" s="100" t="e">
        <f>'Daily Data Entry'!N64</f>
        <v>#VALUE!</v>
      </c>
      <c r="O28" s="100" t="e">
        <f>'Daily Data Entry'!O64</f>
        <v>#VALUE!</v>
      </c>
      <c r="P28" s="100" t="e">
        <f>'Daily Data Entry'!P64</f>
        <v>#VALUE!</v>
      </c>
      <c r="Q28" s="101" t="e">
        <f>'Daily Data Entry'!Q64</f>
        <v>#VALUE!</v>
      </c>
      <c r="R28" s="35"/>
      <c r="S28" s="172" t="str">
        <f t="shared" ref="S28:S37" si="4">B10</f>
        <v>N95 Masks</v>
      </c>
      <c r="T28" s="169"/>
      <c r="U28" s="82" t="str">
        <f>'Daily Data Entry'!V64</f>
        <v/>
      </c>
    </row>
    <row r="29" spans="1:22" ht="21.75" customHeight="1" x14ac:dyDescent="0.25">
      <c r="B29" s="194" t="str">
        <f>B11</f>
        <v>Surgical Masks</v>
      </c>
      <c r="C29" s="195"/>
      <c r="D29" s="100" t="e">
        <f>'Daily Data Entry'!D65</f>
        <v>#VALUE!</v>
      </c>
      <c r="E29" s="100" t="e">
        <f>'Daily Data Entry'!E65</f>
        <v>#VALUE!</v>
      </c>
      <c r="F29" s="100" t="e">
        <f>'Daily Data Entry'!F65</f>
        <v>#VALUE!</v>
      </c>
      <c r="G29" s="100" t="e">
        <f>'Daily Data Entry'!G65</f>
        <v>#VALUE!</v>
      </c>
      <c r="H29" s="100" t="e">
        <f>'Daily Data Entry'!H65</f>
        <v>#VALUE!</v>
      </c>
      <c r="I29" s="100" t="e">
        <f>'Daily Data Entry'!I65</f>
        <v>#VALUE!</v>
      </c>
      <c r="J29" s="100" t="e">
        <f>'Daily Data Entry'!J65</f>
        <v>#VALUE!</v>
      </c>
      <c r="K29" s="100" t="e">
        <f>'Daily Data Entry'!K65</f>
        <v>#VALUE!</v>
      </c>
      <c r="L29" s="100" t="e">
        <f>'Daily Data Entry'!L65</f>
        <v>#VALUE!</v>
      </c>
      <c r="M29" s="100" t="e">
        <f>'Daily Data Entry'!M65</f>
        <v>#VALUE!</v>
      </c>
      <c r="N29" s="100" t="e">
        <f>'Daily Data Entry'!N65</f>
        <v>#VALUE!</v>
      </c>
      <c r="O29" s="100" t="e">
        <f>'Daily Data Entry'!O65</f>
        <v>#VALUE!</v>
      </c>
      <c r="P29" s="100" t="e">
        <f>'Daily Data Entry'!P65</f>
        <v>#VALUE!</v>
      </c>
      <c r="Q29" s="101" t="e">
        <f>'Daily Data Entry'!Q65</f>
        <v>#VALUE!</v>
      </c>
      <c r="R29" s="35"/>
      <c r="S29" s="172" t="str">
        <f t="shared" si="4"/>
        <v>Surgical Masks</v>
      </c>
      <c r="T29" s="169"/>
      <c r="U29" s="82" t="str">
        <f>'Daily Data Entry'!V65</f>
        <v/>
      </c>
    </row>
    <row r="30" spans="1:22" ht="21.75" customHeight="1" x14ac:dyDescent="0.25">
      <c r="B30" s="194" t="str">
        <f>B12</f>
        <v>Respirators</v>
      </c>
      <c r="C30" s="195"/>
      <c r="D30" s="100" t="e">
        <f>'Daily Data Entry'!D66</f>
        <v>#VALUE!</v>
      </c>
      <c r="E30" s="100" t="e">
        <f>'Daily Data Entry'!E66</f>
        <v>#VALUE!</v>
      </c>
      <c r="F30" s="100" t="e">
        <f>'Daily Data Entry'!F66</f>
        <v>#VALUE!</v>
      </c>
      <c r="G30" s="100" t="e">
        <f>'Daily Data Entry'!G66</f>
        <v>#VALUE!</v>
      </c>
      <c r="H30" s="100" t="e">
        <f>'Daily Data Entry'!H66</f>
        <v>#VALUE!</v>
      </c>
      <c r="I30" s="100" t="e">
        <f>'Daily Data Entry'!I66</f>
        <v>#VALUE!</v>
      </c>
      <c r="J30" s="100" t="e">
        <f>'Daily Data Entry'!J66</f>
        <v>#VALUE!</v>
      </c>
      <c r="K30" s="100" t="e">
        <f>'Daily Data Entry'!K66</f>
        <v>#VALUE!</v>
      </c>
      <c r="L30" s="100" t="e">
        <f>'Daily Data Entry'!L66</f>
        <v>#VALUE!</v>
      </c>
      <c r="M30" s="100" t="e">
        <f>'Daily Data Entry'!M66</f>
        <v>#VALUE!</v>
      </c>
      <c r="N30" s="100" t="e">
        <f>'Daily Data Entry'!N66</f>
        <v>#VALUE!</v>
      </c>
      <c r="O30" s="100" t="e">
        <f>'Daily Data Entry'!O66</f>
        <v>#VALUE!</v>
      </c>
      <c r="P30" s="100" t="e">
        <f>'Daily Data Entry'!P66</f>
        <v>#VALUE!</v>
      </c>
      <c r="Q30" s="101" t="e">
        <f>'Daily Data Entry'!Q66</f>
        <v>#VALUE!</v>
      </c>
      <c r="R30" s="35"/>
      <c r="S30" s="172" t="str">
        <f t="shared" si="4"/>
        <v>Respirators</v>
      </c>
      <c r="T30" s="169"/>
      <c r="U30" s="82" t="str">
        <f>'Daily Data Entry'!V66</f>
        <v/>
      </c>
    </row>
    <row r="31" spans="1:22" ht="21.75" customHeight="1" x14ac:dyDescent="0.25">
      <c r="B31" s="194" t="str">
        <f>B13</f>
        <v>Face Shields</v>
      </c>
      <c r="C31" s="195"/>
      <c r="D31" s="100" t="e">
        <f>'Daily Data Entry'!D67</f>
        <v>#VALUE!</v>
      </c>
      <c r="E31" s="100" t="e">
        <f>'Daily Data Entry'!E67</f>
        <v>#VALUE!</v>
      </c>
      <c r="F31" s="100" t="e">
        <f>'Daily Data Entry'!F67</f>
        <v>#VALUE!</v>
      </c>
      <c r="G31" s="100" t="e">
        <f>'Daily Data Entry'!G67</f>
        <v>#VALUE!</v>
      </c>
      <c r="H31" s="100" t="e">
        <f>'Daily Data Entry'!H67</f>
        <v>#VALUE!</v>
      </c>
      <c r="I31" s="100" t="e">
        <f>'Daily Data Entry'!I67</f>
        <v>#VALUE!</v>
      </c>
      <c r="J31" s="100" t="e">
        <f>'Daily Data Entry'!J67</f>
        <v>#VALUE!</v>
      </c>
      <c r="K31" s="100" t="e">
        <f>'Daily Data Entry'!K67</f>
        <v>#VALUE!</v>
      </c>
      <c r="L31" s="100" t="e">
        <f>'Daily Data Entry'!L67</f>
        <v>#VALUE!</v>
      </c>
      <c r="M31" s="100" t="e">
        <f>'Daily Data Entry'!M67</f>
        <v>#VALUE!</v>
      </c>
      <c r="N31" s="100" t="e">
        <f>'Daily Data Entry'!N67</f>
        <v>#VALUE!</v>
      </c>
      <c r="O31" s="100" t="e">
        <f>'Daily Data Entry'!O67</f>
        <v>#VALUE!</v>
      </c>
      <c r="P31" s="100" t="e">
        <f>'Daily Data Entry'!P67</f>
        <v>#VALUE!</v>
      </c>
      <c r="Q31" s="101" t="e">
        <f>'Daily Data Entry'!Q67</f>
        <v>#VALUE!</v>
      </c>
      <c r="R31" s="35"/>
      <c r="S31" s="172" t="str">
        <f t="shared" si="4"/>
        <v>Face Shields</v>
      </c>
      <c r="T31" s="169"/>
      <c r="U31" s="82" t="str">
        <f>'Daily Data Entry'!V67</f>
        <v/>
      </c>
    </row>
    <row r="32" spans="1:22" ht="21.75" customHeight="1" x14ac:dyDescent="0.25">
      <c r="B32" s="194" t="str">
        <f>IF(B14="","",B14)</f>
        <v>Eye Protection - Goggles</v>
      </c>
      <c r="C32" s="195"/>
      <c r="D32" s="100" t="e">
        <f>'Daily Data Entry'!D68</f>
        <v>#VALUE!</v>
      </c>
      <c r="E32" s="100" t="e">
        <f>'Daily Data Entry'!E68</f>
        <v>#VALUE!</v>
      </c>
      <c r="F32" s="100" t="e">
        <f>'Daily Data Entry'!F68</f>
        <v>#VALUE!</v>
      </c>
      <c r="G32" s="100" t="e">
        <f>'Daily Data Entry'!G68</f>
        <v>#VALUE!</v>
      </c>
      <c r="H32" s="100" t="e">
        <f>'Daily Data Entry'!H68</f>
        <v>#VALUE!</v>
      </c>
      <c r="I32" s="100" t="e">
        <f>'Daily Data Entry'!I68</f>
        <v>#VALUE!</v>
      </c>
      <c r="J32" s="100" t="e">
        <f>'Daily Data Entry'!J68</f>
        <v>#VALUE!</v>
      </c>
      <c r="K32" s="100" t="e">
        <f>'Daily Data Entry'!K68</f>
        <v>#VALUE!</v>
      </c>
      <c r="L32" s="100" t="e">
        <f>'Daily Data Entry'!L68</f>
        <v>#VALUE!</v>
      </c>
      <c r="M32" s="100" t="e">
        <f>'Daily Data Entry'!M68</f>
        <v>#VALUE!</v>
      </c>
      <c r="N32" s="100" t="e">
        <f>'Daily Data Entry'!N68</f>
        <v>#VALUE!</v>
      </c>
      <c r="O32" s="100" t="e">
        <f>'Daily Data Entry'!O68</f>
        <v>#VALUE!</v>
      </c>
      <c r="P32" s="100" t="e">
        <f>'Daily Data Entry'!P68</f>
        <v>#VALUE!</v>
      </c>
      <c r="Q32" s="101" t="e">
        <f>'Daily Data Entry'!Q68</f>
        <v>#VALUE!</v>
      </c>
      <c r="R32" s="35"/>
      <c r="S32" s="172" t="str">
        <f t="shared" si="4"/>
        <v>Eye Protection - Goggles</v>
      </c>
      <c r="T32" s="169"/>
      <c r="U32" s="82" t="str">
        <f>'Daily Data Entry'!V68</f>
        <v/>
      </c>
    </row>
    <row r="33" spans="1:21" ht="21.75" customHeight="1" x14ac:dyDescent="0.25">
      <c r="B33" s="194" t="str">
        <f>'Daily Data Entry'!B50:C50</f>
        <v>Disposable Gowns</v>
      </c>
      <c r="C33" s="195"/>
      <c r="D33" s="100" t="e">
        <f>'Daily Data Entry'!D69</f>
        <v>#VALUE!</v>
      </c>
      <c r="E33" s="100" t="e">
        <f>'Daily Data Entry'!E69</f>
        <v>#VALUE!</v>
      </c>
      <c r="F33" s="100" t="e">
        <f>'Daily Data Entry'!F69</f>
        <v>#VALUE!</v>
      </c>
      <c r="G33" s="100" t="e">
        <f>'Daily Data Entry'!G69</f>
        <v>#VALUE!</v>
      </c>
      <c r="H33" s="100" t="e">
        <f>'Daily Data Entry'!H69</f>
        <v>#VALUE!</v>
      </c>
      <c r="I33" s="100" t="e">
        <f>'Daily Data Entry'!I69</f>
        <v>#VALUE!</v>
      </c>
      <c r="J33" s="100" t="e">
        <f>'Daily Data Entry'!J69</f>
        <v>#VALUE!</v>
      </c>
      <c r="K33" s="100" t="e">
        <f>'Daily Data Entry'!K69</f>
        <v>#VALUE!</v>
      </c>
      <c r="L33" s="100" t="e">
        <f>'Daily Data Entry'!L69</f>
        <v>#VALUE!</v>
      </c>
      <c r="M33" s="100" t="e">
        <f>'Daily Data Entry'!M69</f>
        <v>#VALUE!</v>
      </c>
      <c r="N33" s="100" t="e">
        <f>'Daily Data Entry'!N69</f>
        <v>#VALUE!</v>
      </c>
      <c r="O33" s="100" t="e">
        <f>'Daily Data Entry'!O69</f>
        <v>#VALUE!</v>
      </c>
      <c r="P33" s="100" t="e">
        <f>'Daily Data Entry'!P69</f>
        <v>#VALUE!</v>
      </c>
      <c r="Q33" s="101" t="e">
        <f>'Daily Data Entry'!Q69</f>
        <v>#VALUE!</v>
      </c>
      <c r="R33" s="35"/>
      <c r="S33" s="172" t="str">
        <f t="shared" si="4"/>
        <v>Disposable Gowns</v>
      </c>
      <c r="T33" s="169"/>
      <c r="U33" s="82" t="str">
        <f>'Daily Data Entry'!V69</f>
        <v/>
      </c>
    </row>
    <row r="34" spans="1:21" ht="21.75" customHeight="1" x14ac:dyDescent="0.25">
      <c r="B34" s="194" t="str">
        <f>'Daily Data Entry'!B51:C51</f>
        <v>Fluid Resistant Gowns</v>
      </c>
      <c r="C34" s="195"/>
      <c r="D34" s="100" t="e">
        <f>'Daily Data Entry'!D70</f>
        <v>#VALUE!</v>
      </c>
      <c r="E34" s="100" t="e">
        <f>'Daily Data Entry'!E70</f>
        <v>#VALUE!</v>
      </c>
      <c r="F34" s="100" t="e">
        <f>'Daily Data Entry'!F70</f>
        <v>#VALUE!</v>
      </c>
      <c r="G34" s="100" t="e">
        <f>'Daily Data Entry'!G70</f>
        <v>#VALUE!</v>
      </c>
      <c r="H34" s="100" t="e">
        <f>'Daily Data Entry'!H70</f>
        <v>#VALUE!</v>
      </c>
      <c r="I34" s="100" t="e">
        <f>'Daily Data Entry'!I70</f>
        <v>#VALUE!</v>
      </c>
      <c r="J34" s="100" t="e">
        <f>'Daily Data Entry'!J70</f>
        <v>#VALUE!</v>
      </c>
      <c r="K34" s="100" t="e">
        <f>'Daily Data Entry'!K70</f>
        <v>#VALUE!</v>
      </c>
      <c r="L34" s="100" t="e">
        <f>'Daily Data Entry'!L70</f>
        <v>#VALUE!</v>
      </c>
      <c r="M34" s="100" t="e">
        <f>'Daily Data Entry'!M70</f>
        <v>#VALUE!</v>
      </c>
      <c r="N34" s="100" t="e">
        <f>'Daily Data Entry'!N70</f>
        <v>#VALUE!</v>
      </c>
      <c r="O34" s="100" t="e">
        <f>'Daily Data Entry'!O70</f>
        <v>#VALUE!</v>
      </c>
      <c r="P34" s="100" t="e">
        <f>'Daily Data Entry'!P70</f>
        <v>#VALUE!</v>
      </c>
      <c r="Q34" s="101" t="e">
        <f>'Daily Data Entry'!Q70</f>
        <v>#VALUE!</v>
      </c>
      <c r="R34" s="35"/>
      <c r="S34" s="172" t="str">
        <f t="shared" si="4"/>
        <v>Fluid Resistant Gowns</v>
      </c>
      <c r="T34" s="169"/>
      <c r="U34" s="82" t="str">
        <f>'Daily Data Entry'!V70</f>
        <v/>
      </c>
    </row>
    <row r="35" spans="1:21" ht="21.75" customHeight="1" x14ac:dyDescent="0.25">
      <c r="B35" s="194" t="str">
        <f>'Daily Data Entry'!B52:C52</f>
        <v>Other</v>
      </c>
      <c r="C35" s="195"/>
      <c r="D35" s="100" t="e">
        <f>'Daily Data Entry'!D71</f>
        <v>#VALUE!</v>
      </c>
      <c r="E35" s="100" t="e">
        <f>'Daily Data Entry'!E71</f>
        <v>#VALUE!</v>
      </c>
      <c r="F35" s="100" t="e">
        <f>'Daily Data Entry'!F71</f>
        <v>#VALUE!</v>
      </c>
      <c r="G35" s="100" t="e">
        <f>'Daily Data Entry'!G71</f>
        <v>#VALUE!</v>
      </c>
      <c r="H35" s="100" t="e">
        <f>'Daily Data Entry'!H71</f>
        <v>#VALUE!</v>
      </c>
      <c r="I35" s="100" t="e">
        <f>'Daily Data Entry'!I71</f>
        <v>#VALUE!</v>
      </c>
      <c r="J35" s="100" t="e">
        <f>'Daily Data Entry'!J71</f>
        <v>#VALUE!</v>
      </c>
      <c r="K35" s="100" t="e">
        <f>'Daily Data Entry'!K71</f>
        <v>#VALUE!</v>
      </c>
      <c r="L35" s="100" t="e">
        <f>'Daily Data Entry'!L71</f>
        <v>#VALUE!</v>
      </c>
      <c r="M35" s="100" t="e">
        <f>'Daily Data Entry'!M71</f>
        <v>#VALUE!</v>
      </c>
      <c r="N35" s="100" t="e">
        <f>'Daily Data Entry'!N71</f>
        <v>#VALUE!</v>
      </c>
      <c r="O35" s="100" t="e">
        <f>'Daily Data Entry'!O71</f>
        <v>#VALUE!</v>
      </c>
      <c r="P35" s="100" t="e">
        <f>'Daily Data Entry'!P71</f>
        <v>#VALUE!</v>
      </c>
      <c r="Q35" s="101" t="e">
        <f>'Daily Data Entry'!Q71</f>
        <v>#VALUE!</v>
      </c>
      <c r="R35" s="35"/>
      <c r="S35" s="172" t="str">
        <f t="shared" si="4"/>
        <v>Other</v>
      </c>
      <c r="T35" s="169"/>
      <c r="U35" s="82" t="str">
        <f>'Daily Data Entry'!V71</f>
        <v/>
      </c>
    </row>
    <row r="36" spans="1:21" ht="21.75" customHeight="1" x14ac:dyDescent="0.25">
      <c r="B36" s="194" t="str">
        <f>'Daily Data Entry'!B53:C53</f>
        <v xml:space="preserve">Other </v>
      </c>
      <c r="C36" s="195"/>
      <c r="D36" s="100" t="e">
        <f>'Daily Data Entry'!D72</f>
        <v>#VALUE!</v>
      </c>
      <c r="E36" s="100" t="e">
        <f>'Daily Data Entry'!E72</f>
        <v>#VALUE!</v>
      </c>
      <c r="F36" s="100" t="e">
        <f>'Daily Data Entry'!F72</f>
        <v>#VALUE!</v>
      </c>
      <c r="G36" s="100" t="e">
        <f>'Daily Data Entry'!G72</f>
        <v>#VALUE!</v>
      </c>
      <c r="H36" s="100" t="e">
        <f>'Daily Data Entry'!H72</f>
        <v>#VALUE!</v>
      </c>
      <c r="I36" s="100" t="e">
        <f>'Daily Data Entry'!I72</f>
        <v>#VALUE!</v>
      </c>
      <c r="J36" s="100" t="e">
        <f>'Daily Data Entry'!J72</f>
        <v>#VALUE!</v>
      </c>
      <c r="K36" s="100" t="e">
        <f>'Daily Data Entry'!K72</f>
        <v>#VALUE!</v>
      </c>
      <c r="L36" s="100" t="e">
        <f>'Daily Data Entry'!L72</f>
        <v>#VALUE!</v>
      </c>
      <c r="M36" s="100" t="e">
        <f>'Daily Data Entry'!M72</f>
        <v>#VALUE!</v>
      </c>
      <c r="N36" s="100" t="e">
        <f>'Daily Data Entry'!N72</f>
        <v>#VALUE!</v>
      </c>
      <c r="O36" s="100" t="e">
        <f>'Daily Data Entry'!O72</f>
        <v>#VALUE!</v>
      </c>
      <c r="P36" s="100" t="e">
        <f>'Daily Data Entry'!P72</f>
        <v>#VALUE!</v>
      </c>
      <c r="Q36" s="101" t="e">
        <f>'Daily Data Entry'!Q72</f>
        <v>#VALUE!</v>
      </c>
      <c r="R36" s="35"/>
      <c r="S36" s="172" t="str">
        <f t="shared" si="4"/>
        <v xml:space="preserve">Other </v>
      </c>
      <c r="T36" s="169"/>
      <c r="U36" s="82" t="str">
        <f>'Daily Data Entry'!V72</f>
        <v/>
      </c>
    </row>
    <row r="37" spans="1:21" ht="21.75" customHeight="1" thickBot="1" x14ac:dyDescent="0.3">
      <c r="B37" s="204" t="str">
        <f>'Daily Data Entry'!B54:C54</f>
        <v xml:space="preserve">Other </v>
      </c>
      <c r="C37" s="205"/>
      <c r="D37" s="103" t="e">
        <f>'Daily Data Entry'!D73</f>
        <v>#VALUE!</v>
      </c>
      <c r="E37" s="103" t="e">
        <f>'Daily Data Entry'!E73</f>
        <v>#VALUE!</v>
      </c>
      <c r="F37" s="103" t="e">
        <f>'Daily Data Entry'!F73</f>
        <v>#VALUE!</v>
      </c>
      <c r="G37" s="103" t="e">
        <f>'Daily Data Entry'!G73</f>
        <v>#VALUE!</v>
      </c>
      <c r="H37" s="103" t="e">
        <f>'Daily Data Entry'!H73</f>
        <v>#VALUE!</v>
      </c>
      <c r="I37" s="103" t="e">
        <f>'Daily Data Entry'!I73</f>
        <v>#VALUE!</v>
      </c>
      <c r="J37" s="103" t="e">
        <f>'Daily Data Entry'!J73</f>
        <v>#VALUE!</v>
      </c>
      <c r="K37" s="103" t="e">
        <f>'Daily Data Entry'!K73</f>
        <v>#VALUE!</v>
      </c>
      <c r="L37" s="103" t="e">
        <f>'Daily Data Entry'!L73</f>
        <v>#VALUE!</v>
      </c>
      <c r="M37" s="103" t="e">
        <f>'Daily Data Entry'!M73</f>
        <v>#VALUE!</v>
      </c>
      <c r="N37" s="103" t="e">
        <f>'Daily Data Entry'!N73</f>
        <v>#VALUE!</v>
      </c>
      <c r="O37" s="103" t="e">
        <f>'Daily Data Entry'!O73</f>
        <v>#VALUE!</v>
      </c>
      <c r="P37" s="103" t="e">
        <f>'Daily Data Entry'!P73</f>
        <v>#VALUE!</v>
      </c>
      <c r="Q37" s="104" t="e">
        <f>'Daily Data Entry'!Q73</f>
        <v>#VALUE!</v>
      </c>
      <c r="R37" s="35"/>
      <c r="S37" s="226" t="str">
        <f t="shared" si="4"/>
        <v xml:space="preserve">Other </v>
      </c>
      <c r="T37" s="171"/>
      <c r="U37" s="84" t="str">
        <f>'Daily Data Entry'!V73</f>
        <v/>
      </c>
    </row>
    <row r="38" spans="1:21" ht="13.5" customHeight="1" thickBot="1" x14ac:dyDescent="0.3">
      <c r="A38" s="1"/>
      <c r="B38" s="10"/>
      <c r="C38" s="17"/>
      <c r="D38" s="17"/>
      <c r="E38" s="11"/>
      <c r="F38" s="11"/>
      <c r="G38" s="11"/>
      <c r="H38" s="11"/>
      <c r="I38" s="11"/>
      <c r="J38" s="11"/>
      <c r="K38" s="11"/>
      <c r="L38" s="11"/>
      <c r="M38" s="11"/>
      <c r="N38" s="11"/>
      <c r="O38" s="11"/>
      <c r="P38" s="11"/>
      <c r="Q38" s="11"/>
      <c r="R38" s="11"/>
      <c r="S38" s="11"/>
    </row>
    <row r="39" spans="1:21" ht="61.5" customHeight="1" thickBot="1" x14ac:dyDescent="0.3">
      <c r="B39" s="223" t="s">
        <v>58</v>
      </c>
      <c r="C39" s="224"/>
      <c r="D39" s="224"/>
      <c r="E39" s="224"/>
      <c r="F39" s="224"/>
      <c r="G39" s="224"/>
      <c r="H39" s="224"/>
      <c r="I39" s="224"/>
      <c r="J39" s="224"/>
      <c r="K39" s="224"/>
      <c r="L39" s="224"/>
      <c r="M39" s="224"/>
      <c r="N39" s="224"/>
      <c r="O39" s="224"/>
      <c r="P39" s="225"/>
      <c r="Q39" s="4"/>
      <c r="R39" s="2"/>
      <c r="S39" s="2"/>
    </row>
    <row r="40" spans="1:21" s="18" customFormat="1" ht="40.5" customHeight="1" x14ac:dyDescent="0.25">
      <c r="B40" s="206" t="s">
        <v>14</v>
      </c>
      <c r="C40" s="207"/>
      <c r="D40" s="105" t="s">
        <v>21</v>
      </c>
      <c r="E40" s="105" t="s">
        <v>22</v>
      </c>
      <c r="F40" s="105" t="s">
        <v>23</v>
      </c>
      <c r="G40" s="105" t="s">
        <v>24</v>
      </c>
      <c r="H40" s="105" t="s">
        <v>25</v>
      </c>
      <c r="I40" s="105" t="s">
        <v>26</v>
      </c>
      <c r="J40" s="105" t="s">
        <v>27</v>
      </c>
      <c r="K40" s="105" t="s">
        <v>28</v>
      </c>
      <c r="L40" s="105" t="s">
        <v>29</v>
      </c>
      <c r="M40" s="105" t="s">
        <v>30</v>
      </c>
      <c r="N40" s="105" t="s">
        <v>31</v>
      </c>
      <c r="O40" s="105" t="s">
        <v>32</v>
      </c>
      <c r="P40" s="106" t="s">
        <v>33</v>
      </c>
      <c r="R40" s="3"/>
      <c r="S40" s="3"/>
      <c r="T40" s="3"/>
    </row>
    <row r="41" spans="1:21" ht="21.75" customHeight="1" x14ac:dyDescent="0.25">
      <c r="B41" s="194" t="str">
        <f>B23</f>
        <v>Washable Gowns</v>
      </c>
      <c r="C41" s="195"/>
      <c r="D41" s="90" t="str">
        <f>'Daily Data Entry'!D78</f>
        <v/>
      </c>
      <c r="E41" s="90" t="str">
        <f>'Daily Data Entry'!E78</f>
        <v/>
      </c>
      <c r="F41" s="90" t="str">
        <f>'Daily Data Entry'!F78</f>
        <v/>
      </c>
      <c r="G41" s="90" t="str">
        <f>'Daily Data Entry'!G78</f>
        <v/>
      </c>
      <c r="H41" s="90" t="str">
        <f>'Daily Data Entry'!H78</f>
        <v/>
      </c>
      <c r="I41" s="90" t="str">
        <f>'Daily Data Entry'!I78</f>
        <v/>
      </c>
      <c r="J41" s="90" t="str">
        <f>'Daily Data Entry'!J78</f>
        <v/>
      </c>
      <c r="K41" s="90" t="str">
        <f>'Daily Data Entry'!K78</f>
        <v/>
      </c>
      <c r="L41" s="90" t="str">
        <f>'Daily Data Entry'!L78</f>
        <v/>
      </c>
      <c r="M41" s="90" t="str">
        <f>'Daily Data Entry'!M78</f>
        <v/>
      </c>
      <c r="N41" s="90" t="str">
        <f>'Daily Data Entry'!N78</f>
        <v/>
      </c>
      <c r="O41" s="90" t="str">
        <f>'Daily Data Entry'!O78</f>
        <v/>
      </c>
      <c r="P41" s="91" t="str">
        <f>'Daily Data Entry'!P78</f>
        <v/>
      </c>
    </row>
    <row r="42" spans="1:21" ht="21.75" customHeight="1" x14ac:dyDescent="0.25">
      <c r="B42" s="203" t="s">
        <v>49</v>
      </c>
      <c r="C42" s="102" t="str">
        <f>IF(C24="","",C24)</f>
        <v>small</v>
      </c>
      <c r="D42" s="90" t="str">
        <f>'Daily Data Entry'!D79</f>
        <v/>
      </c>
      <c r="E42" s="90" t="str">
        <f>'Daily Data Entry'!E79</f>
        <v/>
      </c>
      <c r="F42" s="90" t="str">
        <f>'Daily Data Entry'!F79</f>
        <v/>
      </c>
      <c r="G42" s="90" t="str">
        <f>'Daily Data Entry'!G79</f>
        <v/>
      </c>
      <c r="H42" s="90" t="str">
        <f>'Daily Data Entry'!H79</f>
        <v/>
      </c>
      <c r="I42" s="90" t="str">
        <f>'Daily Data Entry'!I79</f>
        <v/>
      </c>
      <c r="J42" s="90" t="str">
        <f>'Daily Data Entry'!J79</f>
        <v/>
      </c>
      <c r="K42" s="90" t="str">
        <f>'Daily Data Entry'!K79</f>
        <v/>
      </c>
      <c r="L42" s="90" t="str">
        <f>'Daily Data Entry'!L79</f>
        <v/>
      </c>
      <c r="M42" s="90" t="str">
        <f>'Daily Data Entry'!M79</f>
        <v/>
      </c>
      <c r="N42" s="90" t="str">
        <f>'Daily Data Entry'!N79</f>
        <v/>
      </c>
      <c r="O42" s="90" t="str">
        <f>'Daily Data Entry'!O79</f>
        <v/>
      </c>
      <c r="P42" s="91" t="str">
        <f>'Daily Data Entry'!P79</f>
        <v/>
      </c>
    </row>
    <row r="43" spans="1:21" ht="21.75" customHeight="1" x14ac:dyDescent="0.25">
      <c r="B43" s="194"/>
      <c r="C43" s="102" t="str">
        <f>IF(C25="","",C25)</f>
        <v>medium</v>
      </c>
      <c r="D43" s="90" t="str">
        <f>'Daily Data Entry'!D80</f>
        <v/>
      </c>
      <c r="E43" s="90" t="str">
        <f>'Daily Data Entry'!E80</f>
        <v/>
      </c>
      <c r="F43" s="90" t="str">
        <f>'Daily Data Entry'!F80</f>
        <v/>
      </c>
      <c r="G43" s="90" t="str">
        <f>'Daily Data Entry'!G80</f>
        <v/>
      </c>
      <c r="H43" s="90" t="str">
        <f>'Daily Data Entry'!H80</f>
        <v/>
      </c>
      <c r="I43" s="90" t="str">
        <f>'Daily Data Entry'!I80</f>
        <v/>
      </c>
      <c r="J43" s="90" t="str">
        <f>'Daily Data Entry'!J80</f>
        <v/>
      </c>
      <c r="K43" s="90" t="str">
        <f>'Daily Data Entry'!K80</f>
        <v/>
      </c>
      <c r="L43" s="90" t="str">
        <f>'Daily Data Entry'!L80</f>
        <v/>
      </c>
      <c r="M43" s="90" t="str">
        <f>'Daily Data Entry'!M80</f>
        <v/>
      </c>
      <c r="N43" s="90" t="str">
        <f>'Daily Data Entry'!N80</f>
        <v/>
      </c>
      <c r="O43" s="90" t="str">
        <f>'Daily Data Entry'!O80</f>
        <v/>
      </c>
      <c r="P43" s="91" t="str">
        <f>'Daily Data Entry'!P80</f>
        <v/>
      </c>
    </row>
    <row r="44" spans="1:21" s="1" customFormat="1" ht="21.75" customHeight="1" x14ac:dyDescent="0.25">
      <c r="A44" s="3"/>
      <c r="B44" s="194"/>
      <c r="C44" s="102" t="str">
        <f>IF(C26="","",C26)</f>
        <v>large</v>
      </c>
      <c r="D44" s="90" t="str">
        <f>'Daily Data Entry'!D81</f>
        <v/>
      </c>
      <c r="E44" s="90" t="str">
        <f>'Daily Data Entry'!E81</f>
        <v/>
      </c>
      <c r="F44" s="90" t="str">
        <f>'Daily Data Entry'!F81</f>
        <v/>
      </c>
      <c r="G44" s="90" t="str">
        <f>'Daily Data Entry'!G81</f>
        <v/>
      </c>
      <c r="H44" s="90" t="str">
        <f>'Daily Data Entry'!H81</f>
        <v/>
      </c>
      <c r="I44" s="90" t="str">
        <f>'Daily Data Entry'!I81</f>
        <v/>
      </c>
      <c r="J44" s="90" t="str">
        <f>'Daily Data Entry'!J81</f>
        <v/>
      </c>
      <c r="K44" s="90" t="str">
        <f>'Daily Data Entry'!K81</f>
        <v/>
      </c>
      <c r="L44" s="90" t="str">
        <f>'Daily Data Entry'!L81</f>
        <v/>
      </c>
      <c r="M44" s="90" t="str">
        <f>'Daily Data Entry'!M81</f>
        <v/>
      </c>
      <c r="N44" s="90" t="str">
        <f>'Daily Data Entry'!N81</f>
        <v/>
      </c>
      <c r="O44" s="90" t="str">
        <f>'Daily Data Entry'!O81</f>
        <v/>
      </c>
      <c r="P44" s="91" t="str">
        <f>'Daily Data Entry'!P81</f>
        <v/>
      </c>
      <c r="R44" s="3"/>
      <c r="S44" s="3"/>
      <c r="T44" s="3"/>
    </row>
    <row r="45" spans="1:21" ht="21.75" customHeight="1" x14ac:dyDescent="0.25">
      <c r="B45" s="194"/>
      <c r="C45" s="102" t="str">
        <f>IF(C27="","",C27)</f>
        <v>extra large</v>
      </c>
      <c r="D45" s="90" t="str">
        <f>'Daily Data Entry'!D82</f>
        <v/>
      </c>
      <c r="E45" s="90" t="str">
        <f>'Daily Data Entry'!E82</f>
        <v/>
      </c>
      <c r="F45" s="90" t="str">
        <f>'Daily Data Entry'!F82</f>
        <v/>
      </c>
      <c r="G45" s="90" t="str">
        <f>'Daily Data Entry'!G82</f>
        <v/>
      </c>
      <c r="H45" s="90" t="str">
        <f>'Daily Data Entry'!H82</f>
        <v/>
      </c>
      <c r="I45" s="90" t="str">
        <f>'Daily Data Entry'!I82</f>
        <v/>
      </c>
      <c r="J45" s="90" t="str">
        <f>'Daily Data Entry'!J82</f>
        <v/>
      </c>
      <c r="K45" s="90" t="str">
        <f>'Daily Data Entry'!K82</f>
        <v/>
      </c>
      <c r="L45" s="90" t="str">
        <f>'Daily Data Entry'!L82</f>
        <v/>
      </c>
      <c r="M45" s="90" t="str">
        <f>'Daily Data Entry'!M82</f>
        <v/>
      </c>
      <c r="N45" s="90" t="str">
        <f>'Daily Data Entry'!N82</f>
        <v/>
      </c>
      <c r="O45" s="90" t="str">
        <f>'Daily Data Entry'!O82</f>
        <v/>
      </c>
      <c r="P45" s="91" t="str">
        <f>'Daily Data Entry'!P82</f>
        <v/>
      </c>
    </row>
    <row r="46" spans="1:21" ht="21.75" customHeight="1" x14ac:dyDescent="0.25">
      <c r="B46" s="194" t="str">
        <f>B28</f>
        <v>N95 Masks</v>
      </c>
      <c r="C46" s="195"/>
      <c r="D46" s="90" t="str">
        <f>'Daily Data Entry'!D83</f>
        <v/>
      </c>
      <c r="E46" s="90" t="str">
        <f>'Daily Data Entry'!E83</f>
        <v/>
      </c>
      <c r="F46" s="90" t="str">
        <f>'Daily Data Entry'!F83</f>
        <v/>
      </c>
      <c r="G46" s="90" t="str">
        <f>'Daily Data Entry'!G83</f>
        <v/>
      </c>
      <c r="H46" s="90" t="str">
        <f>'Daily Data Entry'!H83</f>
        <v/>
      </c>
      <c r="I46" s="90" t="str">
        <f>'Daily Data Entry'!I83</f>
        <v/>
      </c>
      <c r="J46" s="90" t="str">
        <f>'Daily Data Entry'!J83</f>
        <v/>
      </c>
      <c r="K46" s="90" t="str">
        <f>'Daily Data Entry'!K83</f>
        <v/>
      </c>
      <c r="L46" s="90" t="str">
        <f>'Daily Data Entry'!L83</f>
        <v/>
      </c>
      <c r="M46" s="90" t="str">
        <f>'Daily Data Entry'!M83</f>
        <v/>
      </c>
      <c r="N46" s="90" t="str">
        <f>'Daily Data Entry'!N83</f>
        <v/>
      </c>
      <c r="O46" s="90" t="str">
        <f>'Daily Data Entry'!O83</f>
        <v/>
      </c>
      <c r="P46" s="91" t="str">
        <f>'Daily Data Entry'!P83</f>
        <v/>
      </c>
    </row>
    <row r="47" spans="1:21" ht="21.75" customHeight="1" x14ac:dyDescent="0.25">
      <c r="B47" s="194" t="str">
        <f>B29</f>
        <v>Surgical Masks</v>
      </c>
      <c r="C47" s="195"/>
      <c r="D47" s="90" t="str">
        <f>'Daily Data Entry'!D84</f>
        <v/>
      </c>
      <c r="E47" s="90" t="str">
        <f>'Daily Data Entry'!E84</f>
        <v/>
      </c>
      <c r="F47" s="90" t="str">
        <f>'Daily Data Entry'!F84</f>
        <v/>
      </c>
      <c r="G47" s="90" t="str">
        <f>'Daily Data Entry'!G84</f>
        <v/>
      </c>
      <c r="H47" s="90" t="str">
        <f>'Daily Data Entry'!H84</f>
        <v/>
      </c>
      <c r="I47" s="90" t="str">
        <f>'Daily Data Entry'!I84</f>
        <v/>
      </c>
      <c r="J47" s="90" t="str">
        <f>'Daily Data Entry'!J84</f>
        <v/>
      </c>
      <c r="K47" s="90" t="str">
        <f>'Daily Data Entry'!K84</f>
        <v/>
      </c>
      <c r="L47" s="90" t="str">
        <f>'Daily Data Entry'!L84</f>
        <v/>
      </c>
      <c r="M47" s="90" t="str">
        <f>'Daily Data Entry'!M84</f>
        <v/>
      </c>
      <c r="N47" s="90" t="str">
        <f>'Daily Data Entry'!N84</f>
        <v/>
      </c>
      <c r="O47" s="90" t="str">
        <f>'Daily Data Entry'!O84</f>
        <v/>
      </c>
      <c r="P47" s="91" t="str">
        <f>'Daily Data Entry'!P84</f>
        <v/>
      </c>
    </row>
    <row r="48" spans="1:21" ht="21.75" customHeight="1" x14ac:dyDescent="0.25">
      <c r="B48" s="194" t="str">
        <f>B30</f>
        <v>Respirators</v>
      </c>
      <c r="C48" s="195"/>
      <c r="D48" s="90" t="str">
        <f>'Daily Data Entry'!D85</f>
        <v/>
      </c>
      <c r="E48" s="90" t="str">
        <f>'Daily Data Entry'!E85</f>
        <v/>
      </c>
      <c r="F48" s="90" t="str">
        <f>'Daily Data Entry'!F85</f>
        <v/>
      </c>
      <c r="G48" s="90" t="str">
        <f>'Daily Data Entry'!G85</f>
        <v/>
      </c>
      <c r="H48" s="90" t="str">
        <f>'Daily Data Entry'!H85</f>
        <v/>
      </c>
      <c r="I48" s="90" t="str">
        <f>'Daily Data Entry'!I85</f>
        <v/>
      </c>
      <c r="J48" s="90" t="str">
        <f>'Daily Data Entry'!J85</f>
        <v/>
      </c>
      <c r="K48" s="90" t="str">
        <f>'Daily Data Entry'!K85</f>
        <v/>
      </c>
      <c r="L48" s="90" t="str">
        <f>'Daily Data Entry'!L85</f>
        <v/>
      </c>
      <c r="M48" s="90" t="str">
        <f>'Daily Data Entry'!M85</f>
        <v/>
      </c>
      <c r="N48" s="90" t="str">
        <f>'Daily Data Entry'!N85</f>
        <v/>
      </c>
      <c r="O48" s="90" t="str">
        <f>'Daily Data Entry'!O85</f>
        <v/>
      </c>
      <c r="P48" s="91" t="str">
        <f>'Daily Data Entry'!P85</f>
        <v/>
      </c>
    </row>
    <row r="49" spans="2:16" ht="21.75" customHeight="1" x14ac:dyDescent="0.25">
      <c r="B49" s="194" t="str">
        <f>B31</f>
        <v>Face Shields</v>
      </c>
      <c r="C49" s="195"/>
      <c r="D49" s="90" t="str">
        <f>'Daily Data Entry'!D86</f>
        <v/>
      </c>
      <c r="E49" s="90" t="str">
        <f>'Daily Data Entry'!E86</f>
        <v/>
      </c>
      <c r="F49" s="90" t="str">
        <f>'Daily Data Entry'!F86</f>
        <v/>
      </c>
      <c r="G49" s="90" t="str">
        <f>'Daily Data Entry'!G86</f>
        <v/>
      </c>
      <c r="H49" s="90" t="str">
        <f>'Daily Data Entry'!H86</f>
        <v/>
      </c>
      <c r="I49" s="90" t="str">
        <f>'Daily Data Entry'!I86</f>
        <v/>
      </c>
      <c r="J49" s="90" t="str">
        <f>'Daily Data Entry'!J86</f>
        <v/>
      </c>
      <c r="K49" s="90" t="str">
        <f>'Daily Data Entry'!K86</f>
        <v/>
      </c>
      <c r="L49" s="90" t="str">
        <f>'Daily Data Entry'!L86</f>
        <v/>
      </c>
      <c r="M49" s="90" t="str">
        <f>'Daily Data Entry'!M86</f>
        <v/>
      </c>
      <c r="N49" s="90" t="str">
        <f>'Daily Data Entry'!N86</f>
        <v/>
      </c>
      <c r="O49" s="90" t="str">
        <f>'Daily Data Entry'!O86</f>
        <v/>
      </c>
      <c r="P49" s="91" t="str">
        <f>'Daily Data Entry'!P86</f>
        <v/>
      </c>
    </row>
    <row r="50" spans="2:16" ht="21.75" customHeight="1" x14ac:dyDescent="0.25">
      <c r="B50" s="194" t="str">
        <f>IF(B32="","",B32)</f>
        <v>Eye Protection - Goggles</v>
      </c>
      <c r="C50" s="195"/>
      <c r="D50" s="90" t="str">
        <f>'Daily Data Entry'!D87</f>
        <v/>
      </c>
      <c r="E50" s="90" t="str">
        <f>'Daily Data Entry'!E87</f>
        <v/>
      </c>
      <c r="F50" s="90" t="str">
        <f>'Daily Data Entry'!F87</f>
        <v/>
      </c>
      <c r="G50" s="90" t="str">
        <f>'Daily Data Entry'!G87</f>
        <v/>
      </c>
      <c r="H50" s="90" t="str">
        <f>'Daily Data Entry'!H87</f>
        <v/>
      </c>
      <c r="I50" s="90" t="str">
        <f>'Daily Data Entry'!I87</f>
        <v/>
      </c>
      <c r="J50" s="90" t="str">
        <f>'Daily Data Entry'!J87</f>
        <v/>
      </c>
      <c r="K50" s="90" t="str">
        <f>'Daily Data Entry'!K87</f>
        <v/>
      </c>
      <c r="L50" s="90" t="str">
        <f>'Daily Data Entry'!L87</f>
        <v/>
      </c>
      <c r="M50" s="90" t="str">
        <f>'Daily Data Entry'!M87</f>
        <v/>
      </c>
      <c r="N50" s="90" t="str">
        <f>'Daily Data Entry'!N87</f>
        <v/>
      </c>
      <c r="O50" s="90" t="str">
        <f>'Daily Data Entry'!O87</f>
        <v/>
      </c>
      <c r="P50" s="91" t="str">
        <f>'Daily Data Entry'!P87</f>
        <v/>
      </c>
    </row>
    <row r="51" spans="2:16" ht="21.75" customHeight="1" x14ac:dyDescent="0.25">
      <c r="B51" s="194" t="str">
        <f>'Daily Data Entry'!B69:C69</f>
        <v>Disposable Gowns</v>
      </c>
      <c r="C51" s="195"/>
      <c r="D51" s="90" t="str">
        <f>'Daily Data Entry'!D88</f>
        <v/>
      </c>
      <c r="E51" s="90" t="str">
        <f>'Daily Data Entry'!E88</f>
        <v/>
      </c>
      <c r="F51" s="90" t="str">
        <f>'Daily Data Entry'!F88</f>
        <v/>
      </c>
      <c r="G51" s="90" t="str">
        <f>'Daily Data Entry'!G88</f>
        <v/>
      </c>
      <c r="H51" s="90" t="str">
        <f>'Daily Data Entry'!H88</f>
        <v/>
      </c>
      <c r="I51" s="90" t="str">
        <f>'Daily Data Entry'!I88</f>
        <v/>
      </c>
      <c r="J51" s="90" t="str">
        <f>'Daily Data Entry'!J88</f>
        <v/>
      </c>
      <c r="K51" s="90" t="str">
        <f>'Daily Data Entry'!K88</f>
        <v/>
      </c>
      <c r="L51" s="90" t="str">
        <f>'Daily Data Entry'!L88</f>
        <v/>
      </c>
      <c r="M51" s="90" t="str">
        <f>'Daily Data Entry'!M88</f>
        <v/>
      </c>
      <c r="N51" s="90" t="str">
        <f>'Daily Data Entry'!N88</f>
        <v/>
      </c>
      <c r="O51" s="90" t="str">
        <f>'Daily Data Entry'!O88</f>
        <v/>
      </c>
      <c r="P51" s="91" t="str">
        <f>'Daily Data Entry'!P88</f>
        <v/>
      </c>
    </row>
    <row r="52" spans="2:16" ht="21.75" customHeight="1" x14ac:dyDescent="0.25">
      <c r="B52" s="194" t="str">
        <f>'Daily Data Entry'!B70:C70</f>
        <v>Fluid Resistant Gowns</v>
      </c>
      <c r="C52" s="195"/>
      <c r="D52" s="90" t="str">
        <f>'Daily Data Entry'!D89</f>
        <v/>
      </c>
      <c r="E52" s="90" t="str">
        <f>'Daily Data Entry'!E89</f>
        <v/>
      </c>
      <c r="F52" s="90" t="str">
        <f>'Daily Data Entry'!F89</f>
        <v/>
      </c>
      <c r="G52" s="90" t="str">
        <f>'Daily Data Entry'!G89</f>
        <v/>
      </c>
      <c r="H52" s="90" t="str">
        <f>'Daily Data Entry'!H89</f>
        <v/>
      </c>
      <c r="I52" s="90" t="str">
        <f>'Daily Data Entry'!I89</f>
        <v/>
      </c>
      <c r="J52" s="90" t="str">
        <f>'Daily Data Entry'!J89</f>
        <v/>
      </c>
      <c r="K52" s="90" t="str">
        <f>'Daily Data Entry'!K89</f>
        <v/>
      </c>
      <c r="L52" s="90" t="str">
        <f>'Daily Data Entry'!L89</f>
        <v/>
      </c>
      <c r="M52" s="90" t="str">
        <f>'Daily Data Entry'!M89</f>
        <v/>
      </c>
      <c r="N52" s="90" t="str">
        <f>'Daily Data Entry'!N89</f>
        <v/>
      </c>
      <c r="O52" s="90" t="str">
        <f>'Daily Data Entry'!O89</f>
        <v/>
      </c>
      <c r="P52" s="91" t="str">
        <f>'Daily Data Entry'!P89</f>
        <v/>
      </c>
    </row>
    <row r="53" spans="2:16" ht="21.75" customHeight="1" x14ac:dyDescent="0.25">
      <c r="B53" s="194" t="str">
        <f>'Daily Data Entry'!B71:C71</f>
        <v>Other</v>
      </c>
      <c r="C53" s="195"/>
      <c r="D53" s="90" t="str">
        <f>'Daily Data Entry'!D90</f>
        <v/>
      </c>
      <c r="E53" s="90" t="str">
        <f>'Daily Data Entry'!E90</f>
        <v/>
      </c>
      <c r="F53" s="90" t="str">
        <f>'Daily Data Entry'!F90</f>
        <v/>
      </c>
      <c r="G53" s="90" t="str">
        <f>'Daily Data Entry'!G90</f>
        <v/>
      </c>
      <c r="H53" s="90" t="str">
        <f>'Daily Data Entry'!H90</f>
        <v/>
      </c>
      <c r="I53" s="90" t="str">
        <f>'Daily Data Entry'!I90</f>
        <v/>
      </c>
      <c r="J53" s="90" t="str">
        <f>'Daily Data Entry'!J90</f>
        <v/>
      </c>
      <c r="K53" s="90" t="str">
        <f>'Daily Data Entry'!K90</f>
        <v/>
      </c>
      <c r="L53" s="90" t="str">
        <f>'Daily Data Entry'!L90</f>
        <v/>
      </c>
      <c r="M53" s="90" t="str">
        <f>'Daily Data Entry'!M90</f>
        <v/>
      </c>
      <c r="N53" s="90" t="str">
        <f>'Daily Data Entry'!N90</f>
        <v/>
      </c>
      <c r="O53" s="90" t="str">
        <f>'Daily Data Entry'!O90</f>
        <v/>
      </c>
      <c r="P53" s="91" t="str">
        <f>'Daily Data Entry'!P90</f>
        <v/>
      </c>
    </row>
    <row r="54" spans="2:16" ht="21.75" customHeight="1" x14ac:dyDescent="0.25">
      <c r="B54" s="194" t="str">
        <f>'Daily Data Entry'!B72:C72</f>
        <v xml:space="preserve">Other </v>
      </c>
      <c r="C54" s="195"/>
      <c r="D54" s="90" t="str">
        <f>'Daily Data Entry'!D91</f>
        <v/>
      </c>
      <c r="E54" s="90" t="str">
        <f>'Daily Data Entry'!E91</f>
        <v/>
      </c>
      <c r="F54" s="90" t="str">
        <f>'Daily Data Entry'!F91</f>
        <v/>
      </c>
      <c r="G54" s="90" t="str">
        <f>'Daily Data Entry'!G91</f>
        <v/>
      </c>
      <c r="H54" s="90" t="str">
        <f>'Daily Data Entry'!H91</f>
        <v/>
      </c>
      <c r="I54" s="90" t="str">
        <f>'Daily Data Entry'!I91</f>
        <v/>
      </c>
      <c r="J54" s="90" t="str">
        <f>'Daily Data Entry'!J91</f>
        <v/>
      </c>
      <c r="K54" s="90" t="str">
        <f>'Daily Data Entry'!K91</f>
        <v/>
      </c>
      <c r="L54" s="90" t="str">
        <f>'Daily Data Entry'!L91</f>
        <v/>
      </c>
      <c r="M54" s="90" t="str">
        <f>'Daily Data Entry'!M91</f>
        <v/>
      </c>
      <c r="N54" s="90" t="str">
        <f>'Daily Data Entry'!N91</f>
        <v/>
      </c>
      <c r="O54" s="90" t="str">
        <f>'Daily Data Entry'!O91</f>
        <v/>
      </c>
      <c r="P54" s="91" t="str">
        <f>'Daily Data Entry'!P91</f>
        <v/>
      </c>
    </row>
    <row r="55" spans="2:16" ht="21.75" customHeight="1" thickBot="1" x14ac:dyDescent="0.3">
      <c r="B55" s="204" t="str">
        <f>'Daily Data Entry'!B73:C73</f>
        <v xml:space="preserve">Other </v>
      </c>
      <c r="C55" s="205"/>
      <c r="D55" s="93" t="str">
        <f>'Daily Data Entry'!D92</f>
        <v/>
      </c>
      <c r="E55" s="93" t="str">
        <f>'Daily Data Entry'!E92</f>
        <v/>
      </c>
      <c r="F55" s="93" t="str">
        <f>'Daily Data Entry'!F92</f>
        <v/>
      </c>
      <c r="G55" s="93" t="str">
        <f>'Daily Data Entry'!G92</f>
        <v/>
      </c>
      <c r="H55" s="93" t="str">
        <f>'Daily Data Entry'!H92</f>
        <v/>
      </c>
      <c r="I55" s="93" t="str">
        <f>'Daily Data Entry'!I92</f>
        <v/>
      </c>
      <c r="J55" s="93" t="str">
        <f>'Daily Data Entry'!J92</f>
        <v/>
      </c>
      <c r="K55" s="93" t="str">
        <f>'Daily Data Entry'!K92</f>
        <v/>
      </c>
      <c r="L55" s="93" t="str">
        <f>'Daily Data Entry'!L92</f>
        <v/>
      </c>
      <c r="M55" s="93" t="str">
        <f>'Daily Data Entry'!M92</f>
        <v/>
      </c>
      <c r="N55" s="93" t="str">
        <f>'Daily Data Entry'!N92</f>
        <v/>
      </c>
      <c r="O55" s="93" t="str">
        <f>'Daily Data Entry'!O92</f>
        <v/>
      </c>
      <c r="P55" s="94" t="str">
        <f>'Daily Data Entry'!P92</f>
        <v/>
      </c>
    </row>
    <row r="56" spans="2:16" ht="21.75" customHeight="1" x14ac:dyDescent="0.25"/>
    <row r="57" spans="2:16" ht="21.75" customHeight="1" x14ac:dyDescent="0.25"/>
    <row r="58" spans="2:16" ht="21.75" customHeight="1" x14ac:dyDescent="0.25"/>
    <row r="59" spans="2:16" ht="21.75" customHeight="1" x14ac:dyDescent="0.25"/>
    <row r="60" spans="2:16" ht="21.75" customHeight="1" x14ac:dyDescent="0.25"/>
    <row r="61" spans="2:16" ht="21.75" customHeight="1" x14ac:dyDescent="0.25"/>
    <row r="62" spans="2:16" ht="21.75" customHeight="1" x14ac:dyDescent="0.25"/>
    <row r="63" spans="2:16" ht="21.75" customHeight="1" x14ac:dyDescent="0.25"/>
    <row r="64" spans="2:16" ht="21.75" customHeight="1" x14ac:dyDescent="0.25"/>
    <row r="65" ht="21.75" customHeight="1" x14ac:dyDescent="0.25"/>
    <row r="66" ht="21.75" customHeight="1" x14ac:dyDescent="0.25"/>
    <row r="67" ht="21.75" customHeight="1" x14ac:dyDescent="0.25"/>
    <row r="68" ht="21.75" customHeight="1" x14ac:dyDescent="0.25"/>
    <row r="69" ht="21.75" customHeight="1" x14ac:dyDescent="0.25"/>
    <row r="70" ht="21.75" customHeight="1" x14ac:dyDescent="0.25"/>
    <row r="71" ht="21.75" customHeight="1" x14ac:dyDescent="0.25"/>
    <row r="72" ht="21.75" customHeight="1" x14ac:dyDescent="0.25"/>
    <row r="73" ht="21.75" customHeight="1" x14ac:dyDescent="0.25"/>
    <row r="74" ht="21.75" customHeight="1" x14ac:dyDescent="0.25"/>
    <row r="75" ht="21.75" customHeight="1" x14ac:dyDescent="0.25"/>
  </sheetData>
  <sheetProtection sheet="1" selectLockedCells="1"/>
  <mergeCells count="70">
    <mergeCell ref="B3:P3"/>
    <mergeCell ref="S3:U3"/>
    <mergeCell ref="B21:Q21"/>
    <mergeCell ref="S21:U21"/>
    <mergeCell ref="B39:P39"/>
    <mergeCell ref="S36:T36"/>
    <mergeCell ref="S37:T37"/>
    <mergeCell ref="S30:T30"/>
    <mergeCell ref="S31:T31"/>
    <mergeCell ref="S32:T32"/>
    <mergeCell ref="S33:T33"/>
    <mergeCell ref="S34:T34"/>
    <mergeCell ref="S35:T35"/>
    <mergeCell ref="S22:T22"/>
    <mergeCell ref="S23:T23"/>
    <mergeCell ref="S24:S27"/>
    <mergeCell ref="S28:T28"/>
    <mergeCell ref="S29:T29"/>
    <mergeCell ref="S15:T15"/>
    <mergeCell ref="S16:T16"/>
    <mergeCell ref="S17:T17"/>
    <mergeCell ref="S18:T18"/>
    <mergeCell ref="S19:T19"/>
    <mergeCell ref="B12:C12"/>
    <mergeCell ref="S12:T12"/>
    <mergeCell ref="S4:T4"/>
    <mergeCell ref="S5:T5"/>
    <mergeCell ref="S6:S9"/>
    <mergeCell ref="S10:T10"/>
    <mergeCell ref="S11:T11"/>
    <mergeCell ref="B4:C4"/>
    <mergeCell ref="B5:C5"/>
    <mergeCell ref="B6:B9"/>
    <mergeCell ref="B10:C10"/>
    <mergeCell ref="B11:C11"/>
    <mergeCell ref="S13:T13"/>
    <mergeCell ref="S14:T14"/>
    <mergeCell ref="B51:C51"/>
    <mergeCell ref="B52:C52"/>
    <mergeCell ref="B53:C53"/>
    <mergeCell ref="B35:C35"/>
    <mergeCell ref="B36:C36"/>
    <mergeCell ref="B37:C37"/>
    <mergeCell ref="B40:C40"/>
    <mergeCell ref="B41:C41"/>
    <mergeCell ref="B29:C29"/>
    <mergeCell ref="B30:C30"/>
    <mergeCell ref="B31:C31"/>
    <mergeCell ref="B32:C32"/>
    <mergeCell ref="B33:C33"/>
    <mergeCell ref="B34:C34"/>
    <mergeCell ref="B54:C54"/>
    <mergeCell ref="B55:C55"/>
    <mergeCell ref="B42:B45"/>
    <mergeCell ref="B46:C46"/>
    <mergeCell ref="B47:C47"/>
    <mergeCell ref="B48:C48"/>
    <mergeCell ref="B49:C49"/>
    <mergeCell ref="B50:C50"/>
    <mergeCell ref="B28:C28"/>
    <mergeCell ref="B13:C13"/>
    <mergeCell ref="B14:C14"/>
    <mergeCell ref="B15:C15"/>
    <mergeCell ref="B16:C16"/>
    <mergeCell ref="B17:C17"/>
    <mergeCell ref="B18:C18"/>
    <mergeCell ref="B19:C19"/>
    <mergeCell ref="B22:C22"/>
    <mergeCell ref="B23:C23"/>
    <mergeCell ref="B24:B27"/>
  </mergeCells>
  <conditionalFormatting sqref="D5:P19">
    <cfRule type="cellIs" dxfId="5" priority="6" operator="equal">
      <formula>0</formula>
    </cfRule>
  </conditionalFormatting>
  <conditionalFormatting sqref="U5:U19">
    <cfRule type="containsErrors" dxfId="4" priority="5">
      <formula>ISERROR(U5)</formula>
    </cfRule>
  </conditionalFormatting>
  <conditionalFormatting sqref="U23:U37">
    <cfRule type="containsErrors" dxfId="3" priority="4">
      <formula>ISERROR(U23)</formula>
    </cfRule>
  </conditionalFormatting>
  <conditionalFormatting sqref="D41:P55">
    <cfRule type="cellIs" dxfId="2" priority="1" operator="equal">
      <formula>0</formula>
    </cfRule>
    <cfRule type="containsErrors" dxfId="1" priority="3">
      <formula>ISERROR(D41)</formula>
    </cfRule>
  </conditionalFormatting>
  <conditionalFormatting sqref="D23:Q37">
    <cfRule type="containsErrors" dxfId="0" priority="2">
      <formula>ISERROR(D23)</formula>
    </cfRule>
  </conditionalFormatting>
  <pageMargins left="0.7" right="0.7" top="0.75" bottom="0.75" header="0.3" footer="0.3"/>
  <pageSetup paperSize="3" scale="43" orientation="landscape" r:id="rId1"/>
  <headerFooter>
    <oddFooter>&amp;C&amp;"+,Regular"&amp;8© Copyright 2022, Jensen Hughes, Inc. All rights reserved.</oddFooter>
  </headerFooter>
  <ignoredErrors>
    <ignoredError sqref="U6:U19 U24:U37 D42:P55 D33:Q37 G27:Q32 D24:Q26 D27:F32" evalError="1"/>
  </ignoredError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5F1F5ACA7D9824AAB0E713D02484050" ma:contentTypeVersion="13" ma:contentTypeDescription="Create a new document." ma:contentTypeScope="" ma:versionID="9481bc0f4a77d02c234dbc47d048f1fc">
  <xsd:schema xmlns:xsd="http://www.w3.org/2001/XMLSchema" xmlns:xs="http://www.w3.org/2001/XMLSchema" xmlns:p="http://schemas.microsoft.com/office/2006/metadata/properties" xmlns:ns3="3d326652-0b14-4e9a-87c1-dce06bb2442c" xmlns:ns4="b306ee79-2f51-4bda-a734-8653703d17c0" targetNamespace="http://schemas.microsoft.com/office/2006/metadata/properties" ma:root="true" ma:fieldsID="7c19aa5d38b9abf88647a74e9d026ba3" ns3:_="" ns4:_="">
    <xsd:import namespace="3d326652-0b14-4e9a-87c1-dce06bb2442c"/>
    <xsd:import namespace="b306ee79-2f51-4bda-a734-8653703d17c0"/>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OCR" minOccurs="0"/>
                <xsd:element ref="ns4:MediaServiceDateTaken"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326652-0b14-4e9a-87c1-dce06bb2442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306ee79-2f51-4bda-a734-8653703d17c0"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3d326652-0b14-4e9a-87c1-dce06bb2442c">
      <UserInfo>
        <DisplayName>Fazio, Gino (CDC/NIOSH/OD)</DisplayName>
        <AccountId>77</AccountId>
        <AccountType/>
      </UserInfo>
      <UserInfo>
        <DisplayName>Webb, Sydney (CDC/NIOSH/DSR)</DisplayName>
        <AccountId>63</AccountId>
        <AccountType/>
      </UserInfo>
      <UserInfo>
        <DisplayName>Norton, Emily (CDC/NIOSH/OD)</DisplayName>
        <AccountId>19</AccountId>
        <AccountType/>
      </UserInfo>
      <UserInfo>
        <DisplayName>Stevens, Stephanie (CDC/NIOSH/OD)</DisplayName>
        <AccountId>59</AccountId>
        <AccountType/>
      </UserInfo>
      <UserInfo>
        <DisplayName>Tyrawski, Jennifer (CDC/NIOSH/DFSE)</DisplayName>
        <AccountId>67</AccountId>
        <AccountType/>
      </UserInfo>
    </SharedWithUsers>
  </documentManagement>
</p:properties>
</file>

<file path=customXml/itemProps1.xml><?xml version="1.0" encoding="utf-8"?>
<ds:datastoreItem xmlns:ds="http://schemas.openxmlformats.org/officeDocument/2006/customXml" ds:itemID="{03149B24-1587-4248-83B4-29A85EE4D2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326652-0b14-4e9a-87c1-dce06bb2442c"/>
    <ds:schemaRef ds:uri="b306ee79-2f51-4bda-a734-8653703d17c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CA7B801-1B26-4B23-A86B-40B7B3725F13}">
  <ds:schemaRefs>
    <ds:schemaRef ds:uri="http://schemas.microsoft.com/sharepoint/v3/contenttype/forms"/>
  </ds:schemaRefs>
</ds:datastoreItem>
</file>

<file path=customXml/itemProps3.xml><?xml version="1.0" encoding="utf-8"?>
<ds:datastoreItem xmlns:ds="http://schemas.openxmlformats.org/officeDocument/2006/customXml" ds:itemID="{A6B785F6-C947-472C-AF21-D17145AEC58D}">
  <ds:schemaRefs>
    <ds:schemaRef ds:uri="http://schemas.microsoft.com/office/infopath/2007/PartnerControls"/>
    <ds:schemaRef ds:uri="http://purl.org/dc/terms/"/>
    <ds:schemaRef ds:uri="http://schemas.microsoft.com/office/2006/documentManagement/types"/>
    <ds:schemaRef ds:uri="3d326652-0b14-4e9a-87c1-dce06bb2442c"/>
    <ds:schemaRef ds:uri="http://purl.org/dc/elements/1.1/"/>
    <ds:schemaRef ds:uri="http://schemas.microsoft.com/office/2006/metadata/properties"/>
    <ds:schemaRef ds:uri="b306ee79-2f51-4bda-a734-8653703d17c0"/>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Daily Data Entry</vt:lpstr>
      <vt:lpstr>Calculator Summary</vt:lpstr>
    </vt:vector>
  </TitlesOfParts>
  <Manager/>
  <Company>Centers for Disease Control and Prevention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Seaton, Melissa (CDC/NIOSH/DSI/SAB)</dc:creator>
  <cp:keywords/>
  <dc:description/>
  <cp:lastModifiedBy>Jennifer Gallivan</cp:lastModifiedBy>
  <cp:revision/>
  <cp:lastPrinted>2022-08-09T14:24:24Z</cp:lastPrinted>
  <dcterms:created xsi:type="dcterms:W3CDTF">2020-03-12T19:32:09Z</dcterms:created>
  <dcterms:modified xsi:type="dcterms:W3CDTF">2022-08-09T14:24:28Z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0x010100E5F1F5ACA7D9824AAB0E713D02484050</vt:lpwstr>
  </property>
</Properties>
</file>